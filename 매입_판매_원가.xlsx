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내 드라이브\오프라인용\나성닭강정\매출\"/>
    </mc:Choice>
  </mc:AlternateContent>
  <xr:revisionPtr revIDLastSave="0" documentId="8_{A7D969F5-BF60-4D35-A70D-5FA143F22906}" xr6:coauthVersionLast="47" xr6:coauthVersionMax="47" xr10:uidLastSave="{00000000-0000-0000-0000-000000000000}"/>
  <bookViews>
    <workbookView xWindow="29940" yWindow="1140" windowWidth="21600" windowHeight="11175" activeTab="6" xr2:uid="{00000000-000D-0000-FFFF-FFFF00000000}"/>
  </bookViews>
  <sheets>
    <sheet name="사용안내" sheetId="1" r:id="rId1"/>
    <sheet name="재료목록" sheetId="2" r:id="rId2"/>
    <sheet name="범례" sheetId="3" r:id="rId3"/>
    <sheet name="매입현황_기록" sheetId="4" r:id="rId4"/>
    <sheet name="판매수량_기록" sheetId="5" r:id="rId5"/>
    <sheet name="환산계수" sheetId="6" r:id="rId6"/>
    <sheet name="기간요약" sheetId="7" r:id="rId7"/>
  </sheets>
  <definedNames>
    <definedName name="IngredientList">재료목록!$D$2:$D$42</definedName>
    <definedName name="MenuList">재료목록!$F$2:$F$6</definedName>
    <definedName name="꼬치오뎅">범례!$D$2:$D$20</definedName>
    <definedName name="닭강정">범례!$A$2:$A$20</definedName>
    <definedName name="떡볶이">범례!$B$2:$B$14</definedName>
    <definedName name="붕어빵">범례!$C$2:$C$11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7" l="1"/>
  <c r="C24" i="7"/>
  <c r="E24" i="7" s="1"/>
  <c r="E23" i="7"/>
  <c r="D23" i="7"/>
  <c r="C23" i="7"/>
  <c r="D22" i="7"/>
  <c r="C22" i="7"/>
  <c r="E22" i="7" s="1"/>
  <c r="B32" i="7" s="1"/>
  <c r="D21" i="7"/>
  <c r="C21" i="7"/>
  <c r="E21" i="7" s="1"/>
  <c r="B31" i="7" s="1"/>
  <c r="D20" i="7"/>
  <c r="C20" i="7"/>
  <c r="E20" i="7" s="1"/>
  <c r="E19" i="7"/>
  <c r="B30" i="7" s="1"/>
  <c r="D19" i="7"/>
  <c r="C19" i="7"/>
  <c r="D18" i="7"/>
  <c r="E18" i="7" s="1"/>
  <c r="C18" i="7"/>
  <c r="D17" i="7"/>
  <c r="C17" i="7"/>
  <c r="E17" i="7" s="1"/>
  <c r="D16" i="7"/>
  <c r="C16" i="7"/>
  <c r="E16" i="7" s="1"/>
  <c r="B29" i="7" s="1"/>
  <c r="I8" i="7"/>
  <c r="I561" i="4"/>
  <c r="G561" i="4"/>
  <c r="I560" i="4"/>
  <c r="G560" i="4"/>
  <c r="I559" i="4"/>
  <c r="G559" i="4"/>
  <c r="I558" i="4"/>
  <c r="G558" i="4"/>
  <c r="I557" i="4"/>
  <c r="G557" i="4"/>
  <c r="I556" i="4"/>
  <c r="G556" i="4"/>
  <c r="I555" i="4"/>
  <c r="G555" i="4"/>
  <c r="I554" i="4"/>
  <c r="G554" i="4"/>
  <c r="I553" i="4"/>
  <c r="G553" i="4"/>
  <c r="I552" i="4"/>
  <c r="G552" i="4"/>
  <c r="I551" i="4"/>
  <c r="G551" i="4"/>
  <c r="I550" i="4"/>
  <c r="G550" i="4"/>
  <c r="I549" i="4"/>
  <c r="G549" i="4"/>
  <c r="I548" i="4"/>
  <c r="G548" i="4"/>
  <c r="I547" i="4"/>
  <c r="G547" i="4"/>
  <c r="I546" i="4"/>
  <c r="G546" i="4"/>
  <c r="I545" i="4"/>
  <c r="G545" i="4"/>
  <c r="I544" i="4"/>
  <c r="G544" i="4"/>
  <c r="I543" i="4"/>
  <c r="G543" i="4"/>
  <c r="I542" i="4"/>
  <c r="G542" i="4"/>
  <c r="I541" i="4"/>
  <c r="G541" i="4"/>
  <c r="I540" i="4"/>
  <c r="G540" i="4"/>
  <c r="I539" i="4"/>
  <c r="G539" i="4"/>
  <c r="I538" i="4"/>
  <c r="G538" i="4"/>
  <c r="I537" i="4"/>
  <c r="G537" i="4"/>
  <c r="I536" i="4"/>
  <c r="G536" i="4"/>
  <c r="I535" i="4"/>
  <c r="G535" i="4"/>
  <c r="I534" i="4"/>
  <c r="G534" i="4"/>
  <c r="I533" i="4"/>
  <c r="G533" i="4"/>
  <c r="I532" i="4"/>
  <c r="G532" i="4"/>
  <c r="I531" i="4"/>
  <c r="G531" i="4"/>
  <c r="I530" i="4"/>
  <c r="G530" i="4"/>
  <c r="I529" i="4"/>
  <c r="G529" i="4"/>
  <c r="I528" i="4"/>
  <c r="G528" i="4"/>
  <c r="I527" i="4"/>
  <c r="G527" i="4"/>
  <c r="I526" i="4"/>
  <c r="G526" i="4"/>
  <c r="I525" i="4"/>
  <c r="G525" i="4"/>
  <c r="I524" i="4"/>
  <c r="G524" i="4"/>
  <c r="I523" i="4"/>
  <c r="G523" i="4"/>
  <c r="I522" i="4"/>
  <c r="G522" i="4"/>
  <c r="I521" i="4"/>
  <c r="G521" i="4"/>
  <c r="I520" i="4"/>
  <c r="G520" i="4"/>
  <c r="I519" i="4"/>
  <c r="G519" i="4"/>
  <c r="I518" i="4"/>
  <c r="G518" i="4"/>
  <c r="I517" i="4"/>
  <c r="G517" i="4"/>
  <c r="I516" i="4"/>
  <c r="G516" i="4"/>
  <c r="I515" i="4"/>
  <c r="G515" i="4"/>
  <c r="I514" i="4"/>
  <c r="G514" i="4"/>
  <c r="I513" i="4"/>
  <c r="G513" i="4"/>
  <c r="I512" i="4"/>
  <c r="G512" i="4"/>
  <c r="I511" i="4"/>
  <c r="G511" i="4"/>
  <c r="I510" i="4"/>
  <c r="G510" i="4"/>
  <c r="I509" i="4"/>
  <c r="G509" i="4"/>
  <c r="I508" i="4"/>
  <c r="G508" i="4"/>
  <c r="I507" i="4"/>
  <c r="G507" i="4"/>
  <c r="I506" i="4"/>
  <c r="G506" i="4"/>
  <c r="I505" i="4"/>
  <c r="G505" i="4"/>
  <c r="I504" i="4"/>
  <c r="G504" i="4"/>
  <c r="I503" i="4"/>
  <c r="G503" i="4"/>
  <c r="I502" i="4"/>
  <c r="G502" i="4"/>
  <c r="I501" i="4"/>
  <c r="G501" i="4"/>
  <c r="I500" i="4"/>
  <c r="G500" i="4"/>
  <c r="I499" i="4"/>
  <c r="G499" i="4"/>
  <c r="I498" i="4"/>
  <c r="G498" i="4"/>
  <c r="I497" i="4"/>
  <c r="G497" i="4"/>
  <c r="I496" i="4"/>
  <c r="G496" i="4"/>
  <c r="I495" i="4"/>
  <c r="G495" i="4"/>
  <c r="I494" i="4"/>
  <c r="G494" i="4"/>
  <c r="I493" i="4"/>
  <c r="G493" i="4"/>
  <c r="I492" i="4"/>
  <c r="G492" i="4"/>
  <c r="I491" i="4"/>
  <c r="G491" i="4"/>
  <c r="I490" i="4"/>
  <c r="G490" i="4"/>
  <c r="I489" i="4"/>
  <c r="G489" i="4"/>
  <c r="I488" i="4"/>
  <c r="G488" i="4"/>
  <c r="I487" i="4"/>
  <c r="G487" i="4"/>
  <c r="I486" i="4"/>
  <c r="G486" i="4"/>
  <c r="I485" i="4"/>
  <c r="G485" i="4"/>
  <c r="I484" i="4"/>
  <c r="G484" i="4"/>
  <c r="I483" i="4"/>
  <c r="G483" i="4"/>
  <c r="I482" i="4"/>
  <c r="G482" i="4"/>
  <c r="I481" i="4"/>
  <c r="G481" i="4"/>
  <c r="I480" i="4"/>
  <c r="G480" i="4"/>
  <c r="I479" i="4"/>
  <c r="G479" i="4"/>
  <c r="I478" i="4"/>
  <c r="G478" i="4"/>
  <c r="I477" i="4"/>
  <c r="G477" i="4"/>
  <c r="I476" i="4"/>
  <c r="G476" i="4"/>
  <c r="I475" i="4"/>
  <c r="G475" i="4"/>
  <c r="I474" i="4"/>
  <c r="G474" i="4"/>
  <c r="I473" i="4"/>
  <c r="G473" i="4"/>
  <c r="I472" i="4"/>
  <c r="G472" i="4"/>
  <c r="I471" i="4"/>
  <c r="G471" i="4"/>
  <c r="I470" i="4"/>
  <c r="G470" i="4"/>
  <c r="I469" i="4"/>
  <c r="G469" i="4"/>
  <c r="I468" i="4"/>
  <c r="G468" i="4"/>
  <c r="I467" i="4"/>
  <c r="G467" i="4"/>
  <c r="I466" i="4"/>
  <c r="G466" i="4"/>
  <c r="I465" i="4"/>
  <c r="G465" i="4"/>
  <c r="I464" i="4"/>
  <c r="G464" i="4"/>
  <c r="I463" i="4"/>
  <c r="G463" i="4"/>
  <c r="I462" i="4"/>
  <c r="G462" i="4"/>
  <c r="I461" i="4"/>
  <c r="G461" i="4"/>
  <c r="I460" i="4"/>
  <c r="G460" i="4"/>
  <c r="I459" i="4"/>
  <c r="G459" i="4"/>
  <c r="I458" i="4"/>
  <c r="G458" i="4"/>
  <c r="I457" i="4"/>
  <c r="G457" i="4"/>
  <c r="I456" i="4"/>
  <c r="G456" i="4"/>
  <c r="I455" i="4"/>
  <c r="G455" i="4"/>
  <c r="I454" i="4"/>
  <c r="G454" i="4"/>
  <c r="I453" i="4"/>
  <c r="G453" i="4"/>
  <c r="I452" i="4"/>
  <c r="G452" i="4"/>
  <c r="I451" i="4"/>
  <c r="G451" i="4"/>
  <c r="I450" i="4"/>
  <c r="G450" i="4"/>
  <c r="I449" i="4"/>
  <c r="G449" i="4"/>
  <c r="I448" i="4"/>
  <c r="G448" i="4"/>
  <c r="I447" i="4"/>
  <c r="G447" i="4"/>
  <c r="I446" i="4"/>
  <c r="G446" i="4"/>
  <c r="I445" i="4"/>
  <c r="G445" i="4"/>
  <c r="I444" i="4"/>
  <c r="G444" i="4"/>
  <c r="I443" i="4"/>
  <c r="G443" i="4"/>
  <c r="I442" i="4"/>
  <c r="G442" i="4"/>
  <c r="I441" i="4"/>
  <c r="G441" i="4"/>
  <c r="I440" i="4"/>
  <c r="G440" i="4"/>
  <c r="I439" i="4"/>
  <c r="G439" i="4"/>
  <c r="I438" i="4"/>
  <c r="G438" i="4"/>
  <c r="I437" i="4"/>
  <c r="G437" i="4"/>
  <c r="I436" i="4"/>
  <c r="G436" i="4"/>
  <c r="I435" i="4"/>
  <c r="G435" i="4"/>
  <c r="I434" i="4"/>
  <c r="G434" i="4"/>
  <c r="I433" i="4"/>
  <c r="G433" i="4"/>
  <c r="I432" i="4"/>
  <c r="G432" i="4"/>
  <c r="I431" i="4"/>
  <c r="G431" i="4"/>
  <c r="I430" i="4"/>
  <c r="G430" i="4"/>
  <c r="I429" i="4"/>
  <c r="G429" i="4"/>
  <c r="I428" i="4"/>
  <c r="G428" i="4"/>
  <c r="I427" i="4"/>
  <c r="G427" i="4"/>
  <c r="I426" i="4"/>
  <c r="G426" i="4"/>
  <c r="I425" i="4"/>
  <c r="G425" i="4"/>
  <c r="I424" i="4"/>
  <c r="G424" i="4"/>
  <c r="I423" i="4"/>
  <c r="G423" i="4"/>
  <c r="I422" i="4"/>
  <c r="G422" i="4"/>
  <c r="I421" i="4"/>
  <c r="G421" i="4"/>
  <c r="I420" i="4"/>
  <c r="G420" i="4"/>
  <c r="I419" i="4"/>
  <c r="G419" i="4"/>
  <c r="I418" i="4"/>
  <c r="G418" i="4"/>
  <c r="I417" i="4"/>
  <c r="G417" i="4"/>
  <c r="I416" i="4"/>
  <c r="G416" i="4"/>
  <c r="I415" i="4"/>
  <c r="G415" i="4"/>
  <c r="I414" i="4"/>
  <c r="G414" i="4"/>
  <c r="I413" i="4"/>
  <c r="G413" i="4"/>
  <c r="I412" i="4"/>
  <c r="G412" i="4"/>
  <c r="I411" i="4"/>
  <c r="G411" i="4"/>
  <c r="I410" i="4"/>
  <c r="G410" i="4"/>
  <c r="I409" i="4"/>
  <c r="G409" i="4"/>
  <c r="I408" i="4"/>
  <c r="G408" i="4"/>
  <c r="I407" i="4"/>
  <c r="G407" i="4"/>
  <c r="I406" i="4"/>
  <c r="G406" i="4"/>
  <c r="I405" i="4"/>
  <c r="G405" i="4"/>
  <c r="I404" i="4"/>
  <c r="G404" i="4"/>
  <c r="I403" i="4"/>
  <c r="G403" i="4"/>
  <c r="I402" i="4"/>
  <c r="G402" i="4"/>
  <c r="I401" i="4"/>
  <c r="G401" i="4"/>
  <c r="I400" i="4"/>
  <c r="G400" i="4"/>
  <c r="I399" i="4"/>
  <c r="G399" i="4"/>
  <c r="I398" i="4"/>
  <c r="G398" i="4"/>
  <c r="I397" i="4"/>
  <c r="G397" i="4"/>
  <c r="I396" i="4"/>
  <c r="G396" i="4"/>
  <c r="I395" i="4"/>
  <c r="G395" i="4"/>
  <c r="I394" i="4"/>
  <c r="G394" i="4"/>
  <c r="I393" i="4"/>
  <c r="G393" i="4"/>
  <c r="I392" i="4"/>
  <c r="G392" i="4"/>
  <c r="I391" i="4"/>
  <c r="G391" i="4"/>
  <c r="I390" i="4"/>
  <c r="G390" i="4"/>
  <c r="I389" i="4"/>
  <c r="G389" i="4"/>
  <c r="I388" i="4"/>
  <c r="G388" i="4"/>
  <c r="I387" i="4"/>
  <c r="G387" i="4"/>
  <c r="I386" i="4"/>
  <c r="G386" i="4"/>
  <c r="I385" i="4"/>
  <c r="G385" i="4"/>
  <c r="I384" i="4"/>
  <c r="G384" i="4"/>
  <c r="I383" i="4"/>
  <c r="G383" i="4"/>
  <c r="I382" i="4"/>
  <c r="G382" i="4"/>
  <c r="I381" i="4"/>
  <c r="G381" i="4"/>
  <c r="I380" i="4"/>
  <c r="G380" i="4"/>
  <c r="I379" i="4"/>
  <c r="G379" i="4"/>
  <c r="I378" i="4"/>
  <c r="G378" i="4"/>
  <c r="I377" i="4"/>
  <c r="G377" i="4"/>
  <c r="I376" i="4"/>
  <c r="G376" i="4"/>
  <c r="I375" i="4"/>
  <c r="G375" i="4"/>
  <c r="I374" i="4"/>
  <c r="G374" i="4"/>
  <c r="I373" i="4"/>
  <c r="G373" i="4"/>
  <c r="I372" i="4"/>
  <c r="G372" i="4"/>
  <c r="I371" i="4"/>
  <c r="G371" i="4"/>
  <c r="I370" i="4"/>
  <c r="G370" i="4"/>
  <c r="I369" i="4"/>
  <c r="G369" i="4"/>
  <c r="I368" i="4"/>
  <c r="G368" i="4"/>
  <c r="I367" i="4"/>
  <c r="G367" i="4"/>
  <c r="I366" i="4"/>
  <c r="G366" i="4"/>
  <c r="I365" i="4"/>
  <c r="G365" i="4"/>
  <c r="I364" i="4"/>
  <c r="G364" i="4"/>
  <c r="I363" i="4"/>
  <c r="G363" i="4"/>
  <c r="I362" i="4"/>
  <c r="G362" i="4"/>
  <c r="I361" i="4"/>
  <c r="G361" i="4"/>
  <c r="I360" i="4"/>
  <c r="G360" i="4"/>
  <c r="I359" i="4"/>
  <c r="G359" i="4"/>
  <c r="I358" i="4"/>
  <c r="G358" i="4"/>
  <c r="I357" i="4"/>
  <c r="G357" i="4"/>
  <c r="I356" i="4"/>
  <c r="G356" i="4"/>
  <c r="I355" i="4"/>
  <c r="G355" i="4"/>
  <c r="I354" i="4"/>
  <c r="G354" i="4"/>
  <c r="I353" i="4"/>
  <c r="G353" i="4"/>
  <c r="I352" i="4"/>
  <c r="G352" i="4"/>
  <c r="I351" i="4"/>
  <c r="G351" i="4"/>
  <c r="I350" i="4"/>
  <c r="G350" i="4"/>
  <c r="I349" i="4"/>
  <c r="G349" i="4"/>
  <c r="I348" i="4"/>
  <c r="G348" i="4"/>
  <c r="I347" i="4"/>
  <c r="G347" i="4"/>
  <c r="I346" i="4"/>
  <c r="G346" i="4"/>
  <c r="I345" i="4"/>
  <c r="G345" i="4"/>
  <c r="I344" i="4"/>
  <c r="G344" i="4"/>
  <c r="I343" i="4"/>
  <c r="G343" i="4"/>
  <c r="I342" i="4"/>
  <c r="G342" i="4"/>
  <c r="I341" i="4"/>
  <c r="G341" i="4"/>
  <c r="I340" i="4"/>
  <c r="G340" i="4"/>
  <c r="I339" i="4"/>
  <c r="G339" i="4"/>
  <c r="I338" i="4"/>
  <c r="G338" i="4"/>
  <c r="I337" i="4"/>
  <c r="G337" i="4"/>
  <c r="I336" i="4"/>
  <c r="G336" i="4"/>
  <c r="I335" i="4"/>
  <c r="G335" i="4"/>
  <c r="I334" i="4"/>
  <c r="G334" i="4"/>
  <c r="I333" i="4"/>
  <c r="G333" i="4"/>
  <c r="I332" i="4"/>
  <c r="G332" i="4"/>
  <c r="I331" i="4"/>
  <c r="G331" i="4"/>
  <c r="I330" i="4"/>
  <c r="G330" i="4"/>
  <c r="I329" i="4"/>
  <c r="G329" i="4"/>
  <c r="I328" i="4"/>
  <c r="G328" i="4"/>
  <c r="I327" i="4"/>
  <c r="G327" i="4"/>
  <c r="I326" i="4"/>
  <c r="G326" i="4"/>
  <c r="I325" i="4"/>
  <c r="G325" i="4"/>
  <c r="I324" i="4"/>
  <c r="G324" i="4"/>
  <c r="I323" i="4"/>
  <c r="G323" i="4"/>
  <c r="I322" i="4"/>
  <c r="G322" i="4"/>
  <c r="I321" i="4"/>
  <c r="G321" i="4"/>
  <c r="I320" i="4"/>
  <c r="G320" i="4"/>
  <c r="I319" i="4"/>
  <c r="G319" i="4"/>
  <c r="I318" i="4"/>
  <c r="G318" i="4"/>
  <c r="I317" i="4"/>
  <c r="G317" i="4"/>
  <c r="I316" i="4"/>
  <c r="G316" i="4"/>
  <c r="I315" i="4"/>
  <c r="G315" i="4"/>
  <c r="I314" i="4"/>
  <c r="G314" i="4"/>
  <c r="I313" i="4"/>
  <c r="G313" i="4"/>
  <c r="I312" i="4"/>
  <c r="G312" i="4"/>
  <c r="I311" i="4"/>
  <c r="G311" i="4"/>
  <c r="I310" i="4"/>
  <c r="G310" i="4"/>
  <c r="I309" i="4"/>
  <c r="G309" i="4"/>
  <c r="I308" i="4"/>
  <c r="G308" i="4"/>
  <c r="I307" i="4"/>
  <c r="G307" i="4"/>
  <c r="I306" i="4"/>
  <c r="G306" i="4"/>
  <c r="I305" i="4"/>
  <c r="G305" i="4"/>
  <c r="I304" i="4"/>
  <c r="G304" i="4"/>
  <c r="I303" i="4"/>
  <c r="G303" i="4"/>
  <c r="I302" i="4"/>
  <c r="G302" i="4"/>
  <c r="I301" i="4"/>
  <c r="G301" i="4"/>
  <c r="I300" i="4"/>
  <c r="G300" i="4"/>
  <c r="I299" i="4"/>
  <c r="G299" i="4"/>
  <c r="I298" i="4"/>
  <c r="G298" i="4"/>
  <c r="I297" i="4"/>
  <c r="G297" i="4"/>
  <c r="I296" i="4"/>
  <c r="G296" i="4"/>
  <c r="I295" i="4"/>
  <c r="G295" i="4"/>
  <c r="I294" i="4"/>
  <c r="G294" i="4"/>
  <c r="I293" i="4"/>
  <c r="G293" i="4"/>
  <c r="I292" i="4"/>
  <c r="G292" i="4"/>
  <c r="I291" i="4"/>
  <c r="G291" i="4"/>
  <c r="I290" i="4"/>
  <c r="G290" i="4"/>
  <c r="I289" i="4"/>
  <c r="G289" i="4"/>
  <c r="I288" i="4"/>
  <c r="G288" i="4"/>
  <c r="I287" i="4"/>
  <c r="G287" i="4"/>
  <c r="I286" i="4"/>
  <c r="G286" i="4"/>
  <c r="I285" i="4"/>
  <c r="G285" i="4"/>
  <c r="I284" i="4"/>
  <c r="G284" i="4"/>
  <c r="I283" i="4"/>
  <c r="G283" i="4"/>
  <c r="I282" i="4"/>
  <c r="G282" i="4"/>
  <c r="I281" i="4"/>
  <c r="G281" i="4"/>
  <c r="I280" i="4"/>
  <c r="G280" i="4"/>
  <c r="I279" i="4"/>
  <c r="G279" i="4"/>
  <c r="I278" i="4"/>
  <c r="G278" i="4"/>
  <c r="I277" i="4"/>
  <c r="G277" i="4"/>
  <c r="I276" i="4"/>
  <c r="G276" i="4"/>
  <c r="I275" i="4"/>
  <c r="G275" i="4"/>
  <c r="I274" i="4"/>
  <c r="G274" i="4"/>
  <c r="I273" i="4"/>
  <c r="G273" i="4"/>
  <c r="I272" i="4"/>
  <c r="G272" i="4"/>
  <c r="I271" i="4"/>
  <c r="G271" i="4"/>
  <c r="I270" i="4"/>
  <c r="G270" i="4"/>
  <c r="I269" i="4"/>
  <c r="G269" i="4"/>
  <c r="I268" i="4"/>
  <c r="G268" i="4"/>
  <c r="I267" i="4"/>
  <c r="G267" i="4"/>
  <c r="I266" i="4"/>
  <c r="G266" i="4"/>
  <c r="I265" i="4"/>
  <c r="G265" i="4"/>
  <c r="I264" i="4"/>
  <c r="G264" i="4"/>
  <c r="I263" i="4"/>
  <c r="G263" i="4"/>
  <c r="I262" i="4"/>
  <c r="G262" i="4"/>
  <c r="I261" i="4"/>
  <c r="G261" i="4"/>
  <c r="I260" i="4"/>
  <c r="G260" i="4"/>
  <c r="I259" i="4"/>
  <c r="G259" i="4"/>
  <c r="I258" i="4"/>
  <c r="G258" i="4"/>
  <c r="I257" i="4"/>
  <c r="G257" i="4"/>
  <c r="I256" i="4"/>
  <c r="G256" i="4"/>
  <c r="I255" i="4"/>
  <c r="G255" i="4"/>
  <c r="I254" i="4"/>
  <c r="G254" i="4"/>
  <c r="I253" i="4"/>
  <c r="G253" i="4"/>
  <c r="I252" i="4"/>
  <c r="G252" i="4"/>
  <c r="I251" i="4"/>
  <c r="G251" i="4"/>
  <c r="I250" i="4"/>
  <c r="G250" i="4"/>
  <c r="I249" i="4"/>
  <c r="G249" i="4"/>
  <c r="I248" i="4"/>
  <c r="G248" i="4"/>
  <c r="I247" i="4"/>
  <c r="G247" i="4"/>
  <c r="I246" i="4"/>
  <c r="G246" i="4"/>
  <c r="I245" i="4"/>
  <c r="G245" i="4"/>
  <c r="I244" i="4"/>
  <c r="G244" i="4"/>
  <c r="I243" i="4"/>
  <c r="G243" i="4"/>
  <c r="I242" i="4"/>
  <c r="G242" i="4"/>
  <c r="I241" i="4"/>
  <c r="G241" i="4"/>
  <c r="I240" i="4"/>
  <c r="G240" i="4"/>
  <c r="I239" i="4"/>
  <c r="G239" i="4"/>
  <c r="I238" i="4"/>
  <c r="G238" i="4"/>
  <c r="I237" i="4"/>
  <c r="G237" i="4"/>
  <c r="I236" i="4"/>
  <c r="G236" i="4"/>
  <c r="I235" i="4"/>
  <c r="G235" i="4"/>
  <c r="I234" i="4"/>
  <c r="G234" i="4"/>
  <c r="I233" i="4"/>
  <c r="G233" i="4"/>
  <c r="I232" i="4"/>
  <c r="G232" i="4"/>
  <c r="I231" i="4"/>
  <c r="G231" i="4"/>
  <c r="I230" i="4"/>
  <c r="G230" i="4"/>
  <c r="I229" i="4"/>
  <c r="G229" i="4"/>
  <c r="I228" i="4"/>
  <c r="G228" i="4"/>
  <c r="I227" i="4"/>
  <c r="G227" i="4"/>
  <c r="I226" i="4"/>
  <c r="G226" i="4"/>
  <c r="I225" i="4"/>
  <c r="G225" i="4"/>
  <c r="I224" i="4"/>
  <c r="G224" i="4"/>
  <c r="I223" i="4"/>
  <c r="G223" i="4"/>
  <c r="I222" i="4"/>
  <c r="G222" i="4"/>
  <c r="I221" i="4"/>
  <c r="G221" i="4"/>
  <c r="I220" i="4"/>
  <c r="G220" i="4"/>
  <c r="I219" i="4"/>
  <c r="G219" i="4"/>
  <c r="I218" i="4"/>
  <c r="G218" i="4"/>
  <c r="I217" i="4"/>
  <c r="G217" i="4"/>
  <c r="I216" i="4"/>
  <c r="G216" i="4"/>
  <c r="I215" i="4"/>
  <c r="G215" i="4"/>
  <c r="I214" i="4"/>
  <c r="G214" i="4"/>
  <c r="I213" i="4"/>
  <c r="G213" i="4"/>
  <c r="I212" i="4"/>
  <c r="G212" i="4"/>
  <c r="I211" i="4"/>
  <c r="G211" i="4"/>
  <c r="I210" i="4"/>
  <c r="G210" i="4"/>
  <c r="I209" i="4"/>
  <c r="G209" i="4"/>
  <c r="I208" i="4"/>
  <c r="G208" i="4"/>
  <c r="I207" i="4"/>
  <c r="G207" i="4"/>
  <c r="I206" i="4"/>
  <c r="G206" i="4"/>
  <c r="I205" i="4"/>
  <c r="G205" i="4"/>
  <c r="I204" i="4"/>
  <c r="G204" i="4"/>
  <c r="I203" i="4"/>
  <c r="G203" i="4"/>
  <c r="I202" i="4"/>
  <c r="G202" i="4"/>
  <c r="I201" i="4"/>
  <c r="G201" i="4"/>
  <c r="I200" i="4"/>
  <c r="G200" i="4"/>
  <c r="I199" i="4"/>
  <c r="G199" i="4"/>
  <c r="I198" i="4"/>
  <c r="G198" i="4"/>
  <c r="I197" i="4"/>
  <c r="G197" i="4"/>
  <c r="I196" i="4"/>
  <c r="G196" i="4"/>
  <c r="I195" i="4"/>
  <c r="G195" i="4"/>
  <c r="I194" i="4"/>
  <c r="G194" i="4"/>
  <c r="I193" i="4"/>
  <c r="G193" i="4"/>
  <c r="I192" i="4"/>
  <c r="G192" i="4"/>
  <c r="I191" i="4"/>
  <c r="G191" i="4"/>
  <c r="I190" i="4"/>
  <c r="G190" i="4"/>
  <c r="I189" i="4"/>
  <c r="G189" i="4"/>
  <c r="I188" i="4"/>
  <c r="G188" i="4"/>
  <c r="I187" i="4"/>
  <c r="G187" i="4"/>
  <c r="I186" i="4"/>
  <c r="G186" i="4"/>
  <c r="I185" i="4"/>
  <c r="G185" i="4"/>
  <c r="I184" i="4"/>
  <c r="G184" i="4"/>
  <c r="I183" i="4"/>
  <c r="G183" i="4"/>
  <c r="I182" i="4"/>
  <c r="G182" i="4"/>
  <c r="I181" i="4"/>
  <c r="G181" i="4"/>
  <c r="I180" i="4"/>
  <c r="G180" i="4"/>
  <c r="I179" i="4"/>
  <c r="G179" i="4"/>
  <c r="I178" i="4"/>
  <c r="G178" i="4"/>
  <c r="I177" i="4"/>
  <c r="G177" i="4"/>
  <c r="I176" i="4"/>
  <c r="G176" i="4"/>
  <c r="I175" i="4"/>
  <c r="G175" i="4"/>
  <c r="I174" i="4"/>
  <c r="G174" i="4"/>
  <c r="I173" i="4"/>
  <c r="G173" i="4"/>
  <c r="I172" i="4"/>
  <c r="G172" i="4"/>
  <c r="I171" i="4"/>
  <c r="G171" i="4"/>
  <c r="I170" i="4"/>
  <c r="G170" i="4"/>
  <c r="I169" i="4"/>
  <c r="G169" i="4"/>
  <c r="I168" i="4"/>
  <c r="G168" i="4"/>
  <c r="I167" i="4"/>
  <c r="G167" i="4"/>
  <c r="I166" i="4"/>
  <c r="G166" i="4"/>
  <c r="I165" i="4"/>
  <c r="G165" i="4"/>
  <c r="I164" i="4"/>
  <c r="G164" i="4"/>
  <c r="I163" i="4"/>
  <c r="G163" i="4"/>
  <c r="I162" i="4"/>
  <c r="G162" i="4"/>
  <c r="I161" i="4"/>
  <c r="G161" i="4"/>
  <c r="I160" i="4"/>
  <c r="G160" i="4"/>
  <c r="I159" i="4"/>
  <c r="G159" i="4"/>
  <c r="I158" i="4"/>
  <c r="G158" i="4"/>
  <c r="I157" i="4"/>
  <c r="G157" i="4"/>
  <c r="I156" i="4"/>
  <c r="G156" i="4"/>
  <c r="I155" i="4"/>
  <c r="G155" i="4"/>
  <c r="I154" i="4"/>
  <c r="G154" i="4"/>
  <c r="I153" i="4"/>
  <c r="G153" i="4"/>
  <c r="I152" i="4"/>
  <c r="G152" i="4"/>
  <c r="I151" i="4"/>
  <c r="G151" i="4"/>
  <c r="I150" i="4"/>
  <c r="G150" i="4"/>
  <c r="I149" i="4"/>
  <c r="G149" i="4"/>
  <c r="I148" i="4"/>
  <c r="G148" i="4"/>
  <c r="I147" i="4"/>
  <c r="G147" i="4"/>
  <c r="I146" i="4"/>
  <c r="G146" i="4"/>
  <c r="I145" i="4"/>
  <c r="G145" i="4"/>
  <c r="I144" i="4"/>
  <c r="G144" i="4"/>
  <c r="I143" i="4"/>
  <c r="G143" i="4"/>
  <c r="I142" i="4"/>
  <c r="G142" i="4"/>
  <c r="I141" i="4"/>
  <c r="G141" i="4"/>
  <c r="I140" i="4"/>
  <c r="G140" i="4"/>
  <c r="I139" i="4"/>
  <c r="G139" i="4"/>
  <c r="I138" i="4"/>
  <c r="G138" i="4"/>
  <c r="I137" i="4"/>
  <c r="G137" i="4"/>
  <c r="I136" i="4"/>
  <c r="G136" i="4"/>
  <c r="I135" i="4"/>
  <c r="G135" i="4"/>
  <c r="I134" i="4"/>
  <c r="G134" i="4"/>
  <c r="I133" i="4"/>
  <c r="G133" i="4"/>
  <c r="I132" i="4"/>
  <c r="G132" i="4"/>
  <c r="I131" i="4"/>
  <c r="G131" i="4"/>
  <c r="I130" i="4"/>
  <c r="G130" i="4"/>
  <c r="I129" i="4"/>
  <c r="G129" i="4"/>
  <c r="I128" i="4"/>
  <c r="G128" i="4"/>
  <c r="I127" i="4"/>
  <c r="G127" i="4"/>
  <c r="I126" i="4"/>
  <c r="G126" i="4"/>
  <c r="I125" i="4"/>
  <c r="G125" i="4"/>
  <c r="I124" i="4"/>
  <c r="G124" i="4"/>
  <c r="I123" i="4"/>
  <c r="G123" i="4"/>
  <c r="I122" i="4"/>
  <c r="G122" i="4"/>
  <c r="I121" i="4"/>
  <c r="G121" i="4"/>
  <c r="I120" i="4"/>
  <c r="G120" i="4"/>
  <c r="I119" i="4"/>
  <c r="G119" i="4"/>
  <c r="I118" i="4"/>
  <c r="G118" i="4"/>
  <c r="I117" i="4"/>
  <c r="G117" i="4"/>
  <c r="I116" i="4"/>
  <c r="G116" i="4"/>
  <c r="I115" i="4"/>
  <c r="G115" i="4"/>
  <c r="I114" i="4"/>
  <c r="G114" i="4"/>
  <c r="I113" i="4"/>
  <c r="G113" i="4"/>
  <c r="I112" i="4"/>
  <c r="G112" i="4"/>
  <c r="I111" i="4"/>
  <c r="G111" i="4"/>
  <c r="I110" i="4"/>
  <c r="G110" i="4"/>
  <c r="I109" i="4"/>
  <c r="G109" i="4"/>
  <c r="I108" i="4"/>
  <c r="G108" i="4"/>
  <c r="I107" i="4"/>
  <c r="G107" i="4"/>
  <c r="I106" i="4"/>
  <c r="G106" i="4"/>
  <c r="I105" i="4"/>
  <c r="G105" i="4"/>
  <c r="I104" i="4"/>
  <c r="G104" i="4"/>
  <c r="I103" i="4"/>
  <c r="G103" i="4"/>
  <c r="I102" i="4"/>
  <c r="G102" i="4"/>
  <c r="I101" i="4"/>
  <c r="G101" i="4"/>
  <c r="I100" i="4"/>
  <c r="G100" i="4"/>
  <c r="I99" i="4"/>
  <c r="G99" i="4"/>
  <c r="I98" i="4"/>
  <c r="G98" i="4"/>
  <c r="I97" i="4"/>
  <c r="G97" i="4"/>
  <c r="I96" i="4"/>
  <c r="G96" i="4"/>
  <c r="I95" i="4"/>
  <c r="G95" i="4"/>
  <c r="I94" i="4"/>
  <c r="G94" i="4"/>
  <c r="I93" i="4"/>
  <c r="G93" i="4"/>
  <c r="I92" i="4"/>
  <c r="G92" i="4"/>
  <c r="I91" i="4"/>
  <c r="G91" i="4"/>
  <c r="I90" i="4"/>
  <c r="G90" i="4"/>
  <c r="I89" i="4"/>
  <c r="G89" i="4"/>
  <c r="I88" i="4"/>
  <c r="G88" i="4"/>
  <c r="I87" i="4"/>
  <c r="G87" i="4"/>
  <c r="I86" i="4"/>
  <c r="G86" i="4"/>
  <c r="I85" i="4"/>
  <c r="G85" i="4"/>
  <c r="I84" i="4"/>
  <c r="G84" i="4"/>
  <c r="I83" i="4"/>
  <c r="G83" i="4"/>
  <c r="I82" i="4"/>
  <c r="G82" i="4"/>
  <c r="I81" i="4"/>
  <c r="G81" i="4"/>
  <c r="I80" i="4"/>
  <c r="G80" i="4"/>
  <c r="I79" i="4"/>
  <c r="G79" i="4"/>
  <c r="I78" i="4"/>
  <c r="G78" i="4"/>
  <c r="I77" i="4"/>
  <c r="G77" i="4"/>
  <c r="I76" i="4"/>
  <c r="G76" i="4"/>
  <c r="I75" i="4"/>
  <c r="G75" i="4"/>
  <c r="I74" i="4"/>
  <c r="G74" i="4"/>
  <c r="I73" i="4"/>
  <c r="G73" i="4"/>
  <c r="I72" i="4"/>
  <c r="G72" i="4"/>
  <c r="I71" i="4"/>
  <c r="G71" i="4"/>
  <c r="I70" i="4"/>
  <c r="G70" i="4"/>
  <c r="I69" i="4"/>
  <c r="G69" i="4"/>
  <c r="I68" i="4"/>
  <c r="G68" i="4"/>
  <c r="I67" i="4"/>
  <c r="G67" i="4"/>
  <c r="I66" i="4"/>
  <c r="G66" i="4"/>
  <c r="I65" i="4"/>
  <c r="G65" i="4"/>
  <c r="I64" i="4"/>
  <c r="G64" i="4"/>
  <c r="I63" i="4"/>
  <c r="G63" i="4"/>
  <c r="I62" i="4"/>
  <c r="G62" i="4"/>
  <c r="I61" i="4"/>
  <c r="G61" i="4"/>
  <c r="I60" i="4"/>
  <c r="G60" i="4"/>
  <c r="I59" i="4"/>
  <c r="G59" i="4"/>
  <c r="I58" i="4"/>
  <c r="G58" i="4"/>
  <c r="I57" i="4"/>
  <c r="G57" i="4"/>
  <c r="I56" i="4"/>
  <c r="G56" i="4"/>
  <c r="I55" i="4"/>
  <c r="G55" i="4"/>
  <c r="I54" i="4"/>
  <c r="G54" i="4"/>
  <c r="I53" i="4"/>
  <c r="G53" i="4"/>
  <c r="I52" i="4"/>
  <c r="G52" i="4"/>
  <c r="I51" i="4"/>
  <c r="G51" i="4"/>
  <c r="I50" i="4"/>
  <c r="G50" i="4"/>
  <c r="I49" i="4"/>
  <c r="G49" i="4"/>
  <c r="I48" i="4"/>
  <c r="G48" i="4"/>
  <c r="I47" i="4"/>
  <c r="G47" i="4"/>
  <c r="I46" i="4"/>
  <c r="G46" i="4"/>
  <c r="I45" i="4"/>
  <c r="G45" i="4"/>
  <c r="I44" i="4"/>
  <c r="G44" i="4"/>
  <c r="I43" i="4"/>
  <c r="G43" i="4"/>
  <c r="I42" i="4"/>
  <c r="G42" i="4"/>
  <c r="I41" i="4"/>
  <c r="G41" i="4"/>
  <c r="I40" i="4"/>
  <c r="G40" i="4"/>
  <c r="I39" i="4"/>
  <c r="G39" i="4"/>
  <c r="I38" i="4"/>
  <c r="G38" i="4"/>
  <c r="I37" i="4"/>
  <c r="G37" i="4"/>
  <c r="I36" i="4"/>
  <c r="G36" i="4"/>
  <c r="I35" i="4"/>
  <c r="G35" i="4"/>
  <c r="I34" i="4"/>
  <c r="G34" i="4"/>
  <c r="I33" i="4"/>
  <c r="G33" i="4"/>
  <c r="I32" i="4"/>
  <c r="G32" i="4"/>
  <c r="I31" i="4"/>
  <c r="G31" i="4"/>
  <c r="I30" i="4"/>
  <c r="G30" i="4"/>
  <c r="I29" i="4"/>
  <c r="G29" i="4"/>
  <c r="I28" i="4"/>
  <c r="G28" i="4"/>
  <c r="I27" i="4"/>
  <c r="G27" i="4"/>
  <c r="I26" i="4"/>
  <c r="G26" i="4"/>
  <c r="I25" i="4"/>
  <c r="G25" i="4"/>
  <c r="I24" i="4"/>
  <c r="G24" i="4"/>
  <c r="I23" i="4"/>
  <c r="G23" i="4"/>
  <c r="I22" i="4"/>
  <c r="G22" i="4"/>
  <c r="I21" i="4"/>
  <c r="G21" i="4"/>
  <c r="I20" i="4"/>
  <c r="G20" i="4"/>
  <c r="I19" i="4"/>
  <c r="G19" i="4"/>
  <c r="I18" i="4"/>
  <c r="G18" i="4"/>
  <c r="I17" i="4"/>
  <c r="G17" i="4"/>
  <c r="I16" i="4"/>
  <c r="G16" i="4"/>
  <c r="I15" i="4"/>
  <c r="G15" i="4"/>
  <c r="I14" i="4"/>
  <c r="G14" i="4"/>
  <c r="I13" i="4"/>
  <c r="G13" i="4"/>
  <c r="I12" i="4"/>
  <c r="G12" i="4"/>
  <c r="I11" i="4"/>
  <c r="G11" i="4"/>
  <c r="I10" i="4"/>
  <c r="G10" i="4"/>
  <c r="I9" i="4"/>
  <c r="G9" i="4"/>
  <c r="I8" i="4"/>
  <c r="G8" i="4"/>
  <c r="I7" i="4"/>
  <c r="G7" i="4"/>
  <c r="I6" i="4"/>
  <c r="G6" i="4"/>
  <c r="I5" i="4"/>
  <c r="G5" i="4"/>
  <c r="B11" i="7" s="1"/>
  <c r="I4" i="4"/>
  <c r="G4" i="4"/>
  <c r="I3" i="4"/>
  <c r="G3" i="4"/>
  <c r="I2" i="4"/>
  <c r="G2" i="4"/>
  <c r="B8" i="7" l="1"/>
  <c r="B10" i="7"/>
  <c r="B12" i="7"/>
  <c r="B9" i="7"/>
  <c r="H10" i="7" l="1"/>
  <c r="C10" i="7" s="1"/>
  <c r="H8" i="7"/>
  <c r="C8" i="7" s="1"/>
  <c r="D12" i="7"/>
  <c r="H11" i="7"/>
  <c r="C11" i="7" s="1"/>
  <c r="D11" i="7" s="1"/>
  <c r="C32" i="7" s="1"/>
  <c r="D32" i="7" s="1"/>
  <c r="F32" i="7" s="1"/>
  <c r="H9" i="7"/>
  <c r="C9" i="7" s="1"/>
  <c r="D9" i="7" s="1"/>
  <c r="C30" i="7" s="1"/>
  <c r="D30" i="7" s="1"/>
  <c r="F30" i="7" s="1"/>
  <c r="D10" i="7"/>
  <c r="C31" i="7" s="1"/>
  <c r="D31" i="7" s="1"/>
  <c r="F31" i="7" s="1"/>
  <c r="D8" i="7"/>
  <c r="C29" i="7" s="1"/>
  <c r="D29" i="7" s="1"/>
  <c r="F29" i="7" s="1"/>
</calcChain>
</file>

<file path=xl/sharedStrings.xml><?xml version="1.0" encoding="utf-8"?>
<sst xmlns="http://schemas.openxmlformats.org/spreadsheetml/2006/main" count="1611" uniqueCount="144">
  <si>
    <t>매입·판매수량 기록 템플릿 사용 안내</t>
  </si>
  <si>
    <t>1) [매입현황_기록]에 매입이 발생할 때마다 한 줄씩 입력합니다. 날짜/메뉴/재료/수량/단가를 넣으면 금액은 자동 계산됩니다.</t>
  </si>
  <si>
    <t>2) [판매수량_기록]에 일자별 판매수량을 입력합니다. 제품 단위가 다른 경우 [환산계수]에서 기준단위 환산 계수를 조정합니다.</t>
  </si>
  <si>
    <t>3) [기간요약]에서 시작일/종료일만 입력하면, 메뉴별 매입액·판매량·(공통 배분 포함) 기준단위당 원가가 계산됩니다.</t>
  </si>
  <si>
    <t>4) 공통(종이컵/비닐 등)은 [기간요약]의 배분비율(%)에 따라 메뉴별로 나눠집니다. (합계 100%)</t>
  </si>
  <si>
    <t>주의: 메뉴와 재료가 맞지 않으면 [매입현황_기록]의 '체크'가 '불일치'로 표시됩니다.</t>
  </si>
  <si>
    <t>기준일: 2026-01-03</t>
  </si>
  <si>
    <t>메뉴</t>
  </si>
  <si>
    <t>재료명</t>
  </si>
  <si>
    <t>재료명(전체목록)</t>
  </si>
  <si>
    <t>메뉴목록</t>
  </si>
  <si>
    <t>닭강정</t>
  </si>
  <si>
    <t>염지닭</t>
  </si>
  <si>
    <t>10온스 종이컵</t>
  </si>
  <si>
    <t>염지닭_택배비</t>
  </si>
  <si>
    <t>12cm꼬치</t>
  </si>
  <si>
    <t>떡볶이</t>
  </si>
  <si>
    <t>비쉐프 만능강정소스(매콤달콤)</t>
  </si>
  <si>
    <t>25cm꼬치</t>
  </si>
  <si>
    <t>꼬치오뎅</t>
  </si>
  <si>
    <t>몬스터 골드강정소스(골드간장)</t>
  </si>
  <si>
    <t>M자비닐</t>
  </si>
  <si>
    <t>붕어빵</t>
  </si>
  <si>
    <t>몬스터 강정파우더</t>
  </si>
  <si>
    <t>가래떡</t>
  </si>
  <si>
    <t>공통</t>
  </si>
  <si>
    <t>왕짧짧</t>
  </si>
  <si>
    <t>고춧가루</t>
  </si>
  <si>
    <t>해바라기씨유</t>
  </si>
  <si>
    <t>국간장</t>
  </si>
  <si>
    <t>폐유</t>
  </si>
  <si>
    <t>꽃게다리</t>
  </si>
  <si>
    <t>분태땅콩</t>
  </si>
  <si>
    <t>대봉투</t>
  </si>
  <si>
    <t>치킨박스(중)</t>
  </si>
  <si>
    <t>대파</t>
  </si>
  <si>
    <t>치킨박스(소)</t>
  </si>
  <si>
    <t>떡볶이 소스</t>
  </si>
  <si>
    <t>뿌링클소스</t>
  </si>
  <si>
    <t>마라소스</t>
  </si>
  <si>
    <t>엿</t>
  </si>
  <si>
    <t>모짜렐라치즈</t>
  </si>
  <si>
    <t>액상유자</t>
  </si>
  <si>
    <t>밀떡볶이</t>
  </si>
  <si>
    <t>무</t>
  </si>
  <si>
    <t>밀떡볶이_택배비</t>
  </si>
  <si>
    <t>미원</t>
  </si>
  <si>
    <t>쌀떡볶이</t>
  </si>
  <si>
    <t>반죽</t>
  </si>
  <si>
    <t>상천어묵</t>
  </si>
  <si>
    <t>상천어묵_택배비</t>
  </si>
  <si>
    <t>비엔나소세지</t>
  </si>
  <si>
    <t>죽용포장용기(소)</t>
  </si>
  <si>
    <t>죽용포장용기(중)</t>
  </si>
  <si>
    <t>소봉투</t>
  </si>
  <si>
    <t>슈크림</t>
  </si>
  <si>
    <t>양조간장</t>
  </si>
  <si>
    <t>어묵용 소스</t>
  </si>
  <si>
    <t>어묵용 스프</t>
  </si>
  <si>
    <t>청양고추</t>
  </si>
  <si>
    <t>쯔유</t>
  </si>
  <si>
    <t>진간장</t>
  </si>
  <si>
    <t>팥</t>
  </si>
  <si>
    <t>LPG가스</t>
  </si>
  <si>
    <t>죽용용기(소)</t>
  </si>
  <si>
    <t>죽용용기(중)</t>
  </si>
  <si>
    <t>날짜</t>
  </si>
  <si>
    <t>공급처</t>
  </si>
  <si>
    <t>수량</t>
  </si>
  <si>
    <t>단가</t>
  </si>
  <si>
    <t>금액</t>
  </si>
  <si>
    <t>비고</t>
  </si>
  <si>
    <t>체크</t>
  </si>
  <si>
    <t>소스몬스터</t>
  </si>
  <si>
    <t>10KG</t>
  </si>
  <si>
    <t>시내가스</t>
  </si>
  <si>
    <t>농민식품</t>
  </si>
  <si>
    <t>황금잉어빵세종</t>
  </si>
  <si>
    <t>가보유통</t>
  </si>
  <si>
    <t>동원홈푸드</t>
  </si>
  <si>
    <t>9kg/1box(3kg*3팩)</t>
  </si>
  <si>
    <t>소스히어로</t>
  </si>
  <si>
    <t>미도몰</t>
  </si>
  <si>
    <t>(대용량) 300g</t>
  </si>
  <si>
    <t>650g 10개들이</t>
  </si>
  <si>
    <t>미도어묵 대전지사</t>
  </si>
  <si>
    <t>800g</t>
  </si>
  <si>
    <t>아주굿패키지(엣지)</t>
  </si>
  <si>
    <t>200개입</t>
  </si>
  <si>
    <t>650g 9개들이</t>
  </si>
  <si>
    <t>800g/25장</t>
  </si>
  <si>
    <t>개당 4000원</t>
  </si>
  <si>
    <t>현대에프씨</t>
  </si>
  <si>
    <t>kg당 단가</t>
  </si>
  <si>
    <t>밀앤스토리</t>
  </si>
  <si>
    <t>유광식자재</t>
  </si>
  <si>
    <t>fastmall.co.kr</t>
  </si>
  <si>
    <t>650g/9개</t>
  </si>
  <si>
    <t>코스트코</t>
  </si>
  <si>
    <t>닭강정_컵</t>
  </si>
  <si>
    <t>닭강정_박스(소)</t>
  </si>
  <si>
    <t>닭강정_박스(중)</t>
  </si>
  <si>
    <t>떡볶이_소</t>
  </si>
  <si>
    <t>떡볶이_중</t>
  </si>
  <si>
    <t>꼬치오뎅_꼬치</t>
  </si>
  <si>
    <t>붕어빵_팥</t>
  </si>
  <si>
    <t>붕어빵_슈크림</t>
  </si>
  <si>
    <t>붕어빵_치즈</t>
  </si>
  <si>
    <t>SKU(판매단위)</t>
  </si>
  <si>
    <t>기준단위</t>
  </si>
  <si>
    <t>환산계수(입력)</t>
  </si>
  <si>
    <t>설명</t>
  </si>
  <si>
    <t>컵환산</t>
  </si>
  <si>
    <t>기준(95g)</t>
  </si>
  <si>
    <t>270g</t>
  </si>
  <si>
    <t>460g</t>
  </si>
  <si>
    <t>소환산</t>
  </si>
  <si>
    <t>기준(떡12개)</t>
  </si>
  <si>
    <t>떡 24개</t>
  </si>
  <si>
    <t>꼬치</t>
  </si>
  <si>
    <t>기준</t>
  </si>
  <si>
    <t>개</t>
  </si>
  <si>
    <t>1개 1,000원</t>
  </si>
  <si>
    <t>기간 요약 및 메뉴별 원가 계산</t>
  </si>
  <si>
    <t>시작일</t>
  </si>
  <si>
    <t>종료일</t>
  </si>
  <si>
    <t>매입 요약</t>
  </si>
  <si>
    <t>공통 배분비율(%)</t>
  </si>
  <si>
    <t>매입액(원)</t>
  </si>
  <si>
    <t>공통배분액(원)</t>
  </si>
  <si>
    <t>합계(원)</t>
  </si>
  <si>
    <t>배분비율(%)</t>
  </si>
  <si>
    <t>배분합계</t>
  </si>
  <si>
    <t>판매 요약(기준단위 환산 포함)</t>
  </si>
  <si>
    <t>기간 판매수량</t>
  </si>
  <si>
    <t>환산계수</t>
  </si>
  <si>
    <t>기준단위 환산수량</t>
  </si>
  <si>
    <t>메뉴별 기준단위 판매량 및 평균원가</t>
  </si>
  <si>
    <t>기준단위 판매량</t>
  </si>
  <si>
    <t>매입합계(공통포함)</t>
  </si>
  <si>
    <t>기준단위당 원가</t>
  </si>
  <si>
    <t>판매가(입력)</t>
  </si>
  <si>
    <t>마진율</t>
  </si>
  <si>
    <t>* '기준단위당 원가'는 [환산계수]로 환산한 기준단위(예: 닭강정=컵환산) 기준 평균원가입니다.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</si>
</sst>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%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b/>
      <sz val="11"/>
      <color rgb="FFFFFFFF"/>
      <name val="Calibri"/>
      <family val="2"/>
    </font>
    <font>
      <sz val="11"/>
      <color rgb="FF1F4E79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rgb="FF1F4E79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11"/>
      <color theme="1"/>
      <name val="Calibri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rgb="FF1F4E79"/>
      <name val="맑은 고딕"/>
      <family val="3"/>
      <charset val="129"/>
    </font>
    <font>
      <sz val="11"/>
      <color theme="1"/>
      <name val="Calibri"/>
      <family val="3"/>
      <charset val="129"/>
    </font>
    <font>
      <sz val="11"/>
      <color rgb="FF1F4E79"/>
      <name val="Calibri"/>
      <family val="2"/>
      <charset val="129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  <font>
      <b/>
      <sz val="13"/>
      <color rgb="FFFFFFFF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DEBF7"/>
      </patternFill>
    </fill>
    <fill>
      <patternFill patternType="solid">
        <fgColor rgb="FFD9E1F2"/>
      </patternFill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FFE699"/>
        <bgColor rgb="FFFFE699"/>
      </patternFill>
    </fill>
    <fill>
      <patternFill patternType="solid">
        <fgColor rgb="FFF8CBAD"/>
        <bgColor rgb="FFF8CBAD"/>
      </patternFill>
    </fill>
    <fill>
      <patternFill patternType="solid">
        <fgColor rgb="FFB4C7E7"/>
        <bgColor rgb="FFB4C7E7"/>
      </patternFill>
    </fill>
    <fill>
      <patternFill patternType="solid">
        <fgColor rgb="FFC5E0B4"/>
        <bgColor rgb="FFC5E0B4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E7E6E6"/>
        <bgColor rgb="FFE7E6E6"/>
      </patternFill>
    </fill>
  </fills>
  <borders count="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6" fillId="0" borderId="0"/>
  </cellStyleXfs>
  <cellXfs count="62">
    <xf numFmtId="0" fontId="0" fillId="0" borderId="0" xfId="0"/>
    <xf numFmtId="0" fontId="0" fillId="0" borderId="0" xfId="1" applyFont="1" applyAlignment="1">
      <alignment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0" fillId="0" borderId="1" xfId="1" applyFont="1" applyBorder="1"/>
    <xf numFmtId="0" fontId="0" fillId="0" borderId="1" xfId="1" applyFont="1" applyBorder="1" applyAlignment="1">
      <alignment vertical="center" wrapText="1"/>
    </xf>
    <xf numFmtId="1" fontId="0" fillId="0" borderId="1" xfId="1" applyNumberFormat="1" applyFont="1" applyBorder="1" applyAlignment="1">
      <alignment vertical="center" wrapText="1"/>
    </xf>
    <xf numFmtId="0" fontId="4" fillId="0" borderId="0" xfId="1" applyFont="1" applyAlignment="1">
      <alignment vertical="center"/>
    </xf>
    <xf numFmtId="176" fontId="3" fillId="3" borderId="1" xfId="1" applyNumberFormat="1" applyFont="1" applyFill="1" applyBorder="1" applyAlignment="1">
      <alignment horizontal="center" vertical="center"/>
    </xf>
    <xf numFmtId="3" fontId="0" fillId="0" borderId="1" xfId="1" applyNumberFormat="1" applyFont="1" applyBorder="1" applyAlignment="1">
      <alignment vertical="center"/>
    </xf>
    <xf numFmtId="9" fontId="3" fillId="3" borderId="1" xfId="1" applyNumberFormat="1" applyFont="1" applyFill="1" applyBorder="1" applyAlignment="1">
      <alignment horizontal="center" vertical="center"/>
    </xf>
    <xf numFmtId="9" fontId="0" fillId="0" borderId="1" xfId="1" applyNumberFormat="1" applyFont="1" applyBorder="1" applyAlignment="1">
      <alignment horizontal="center" vertical="center"/>
    </xf>
    <xf numFmtId="2" fontId="0" fillId="0" borderId="1" xfId="1" applyNumberFormat="1" applyFont="1" applyBorder="1" applyAlignment="1">
      <alignment vertical="center" wrapText="1"/>
    </xf>
    <xf numFmtId="0" fontId="0" fillId="0" borderId="1" xfId="1" applyFont="1" applyBorder="1" applyAlignment="1">
      <alignment vertical="center"/>
    </xf>
    <xf numFmtId="2" fontId="0" fillId="0" borderId="1" xfId="1" applyNumberFormat="1" applyFont="1" applyBorder="1" applyAlignment="1">
      <alignment vertical="center"/>
    </xf>
    <xf numFmtId="3" fontId="3" fillId="3" borderId="1" xfId="1" applyNumberFormat="1" applyFont="1" applyFill="1" applyBorder="1" applyAlignment="1">
      <alignment vertical="center"/>
    </xf>
    <xf numFmtId="177" fontId="0" fillId="0" borderId="1" xfId="1" applyNumberFormat="1" applyFont="1" applyBorder="1" applyAlignment="1">
      <alignment vertical="center"/>
    </xf>
    <xf numFmtId="0" fontId="16" fillId="5" borderId="4" xfId="1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17" fillId="7" borderId="4" xfId="1" applyFont="1" applyFill="1" applyBorder="1"/>
    <xf numFmtId="0" fontId="0" fillId="0" borderId="4" xfId="1" applyFont="1" applyBorder="1"/>
    <xf numFmtId="0" fontId="0" fillId="0" borderId="4" xfId="0" applyBorder="1"/>
    <xf numFmtId="0" fontId="10" fillId="0" borderId="4" xfId="1" applyFont="1" applyBorder="1"/>
    <xf numFmtId="0" fontId="9" fillId="0" borderId="4" xfId="1" applyFont="1" applyBorder="1"/>
    <xf numFmtId="0" fontId="17" fillId="8" borderId="4" xfId="1" applyFont="1" applyFill="1" applyBorder="1"/>
    <xf numFmtId="0" fontId="17" fillId="9" borderId="4" xfId="1" applyFont="1" applyFill="1" applyBorder="1"/>
    <xf numFmtId="0" fontId="1" fillId="0" borderId="4" xfId="1" applyFont="1" applyBorder="1"/>
    <xf numFmtId="0" fontId="17" fillId="10" borderId="4" xfId="1" applyFont="1" applyFill="1" applyBorder="1"/>
    <xf numFmtId="0" fontId="17" fillId="11" borderId="4" xfId="1" applyFont="1" applyFill="1" applyBorder="1"/>
    <xf numFmtId="0" fontId="18" fillId="7" borderId="4" xfId="0" applyFont="1" applyFill="1" applyBorder="1" applyAlignment="1">
      <alignment horizontal="center" vertical="center"/>
    </xf>
    <xf numFmtId="0" fontId="18" fillId="8" borderId="4" xfId="0" applyFont="1" applyFill="1" applyBorder="1" applyAlignment="1">
      <alignment horizontal="center" vertical="center"/>
    </xf>
    <xf numFmtId="0" fontId="18" fillId="10" borderId="4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176" fontId="3" fillId="12" borderId="4" xfId="1" applyNumberFormat="1" applyFont="1" applyFill="1" applyBorder="1" applyAlignment="1">
      <alignment vertical="center" wrapText="1"/>
    </xf>
    <xf numFmtId="0" fontId="3" fillId="12" borderId="4" xfId="1" applyFont="1" applyFill="1" applyBorder="1" applyAlignment="1">
      <alignment vertical="center" wrapText="1"/>
    </xf>
    <xf numFmtId="0" fontId="8" fillId="12" borderId="4" xfId="1" applyFont="1" applyFill="1" applyBorder="1" applyAlignment="1">
      <alignment vertical="center" wrapText="1"/>
    </xf>
    <xf numFmtId="3" fontId="0" fillId="13" borderId="4" xfId="1" applyNumberFormat="1" applyFont="1" applyFill="1" applyBorder="1" applyAlignment="1">
      <alignment vertical="center" wrapText="1"/>
    </xf>
    <xf numFmtId="0" fontId="0" fillId="0" borderId="4" xfId="1" applyFont="1" applyBorder="1" applyAlignment="1">
      <alignment vertical="center" wrapText="1"/>
    </xf>
    <xf numFmtId="0" fontId="12" fillId="12" borderId="4" xfId="1" applyFont="1" applyFill="1" applyBorder="1" applyAlignment="1">
      <alignment vertical="center" wrapText="1"/>
    </xf>
    <xf numFmtId="0" fontId="14" fillId="12" borderId="4" xfId="1" applyFont="1" applyFill="1" applyBorder="1" applyAlignment="1">
      <alignment vertical="center" wrapText="1"/>
    </xf>
    <xf numFmtId="1" fontId="3" fillId="12" borderId="4" xfId="1" applyNumberFormat="1" applyFont="1" applyFill="1" applyBorder="1" applyAlignment="1">
      <alignment vertical="center" wrapText="1"/>
    </xf>
    <xf numFmtId="0" fontId="0" fillId="12" borderId="4" xfId="1" applyFont="1" applyFill="1" applyBorder="1" applyAlignment="1">
      <alignment vertical="center" wrapText="1"/>
    </xf>
    <xf numFmtId="0" fontId="0" fillId="13" borderId="4" xfId="1" applyFont="1" applyFill="1" applyBorder="1" applyAlignment="1">
      <alignment vertical="center" wrapText="1"/>
    </xf>
    <xf numFmtId="2" fontId="3" fillId="12" borderId="4" xfId="1" applyNumberFormat="1" applyFont="1" applyFill="1" applyBorder="1" applyAlignment="1">
      <alignment vertical="center" wrapText="1"/>
    </xf>
    <xf numFmtId="0" fontId="10" fillId="13" borderId="4" xfId="1" applyFont="1" applyFill="1" applyBorder="1" applyAlignment="1">
      <alignment vertical="center" wrapText="1"/>
    </xf>
    <xf numFmtId="0" fontId="9" fillId="13" borderId="4" xfId="1" applyFont="1" applyFill="1" applyBorder="1" applyAlignment="1">
      <alignment vertical="center" wrapText="1"/>
    </xf>
    <xf numFmtId="0" fontId="11" fillId="13" borderId="4" xfId="1" applyFont="1" applyFill="1" applyBorder="1" applyAlignment="1">
      <alignment vertical="center" wrapText="1"/>
    </xf>
    <xf numFmtId="0" fontId="15" fillId="5" borderId="0" xfId="1" applyFont="1" applyFill="1" applyAlignment="1">
      <alignment horizontal="center" vertical="center"/>
    </xf>
    <xf numFmtId="0" fontId="0" fillId="0" borderId="0" xfId="0"/>
    <xf numFmtId="0" fontId="19" fillId="5" borderId="0" xfId="1" applyFont="1" applyFill="1" applyAlignment="1">
      <alignment horizontal="center" vertical="center"/>
    </xf>
    <xf numFmtId="0" fontId="5" fillId="4" borderId="1" xfId="1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0" xfId="1" applyFont="1" applyAlignment="1">
      <alignment wrapText="1"/>
    </xf>
    <xf numFmtId="0" fontId="0" fillId="6" borderId="5" xfId="1" applyFont="1" applyFill="1" applyBorder="1" applyAlignment="1">
      <alignment horizontal="center" vertical="top" wrapText="1"/>
    </xf>
    <xf numFmtId="0" fontId="0" fillId="6" borderId="0" xfId="1" applyFont="1" applyFill="1" applyBorder="1" applyAlignment="1">
      <alignment horizontal="center" vertical="top" wrapText="1"/>
    </xf>
  </cellXfs>
  <cellStyles count="2">
    <cellStyle name="Normal" xfId="1" xr:uid="{00000000-0005-0000-0000-000001000000}"/>
    <cellStyle name="표준" xfId="0" builtinId="0"/>
  </cellStyles>
  <dxfs count="3"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>
      <selection activeCell="A5" sqref="A5:H5"/>
    </sheetView>
  </sheetViews>
  <sheetFormatPr defaultRowHeight="14.5" x14ac:dyDescent="0.35"/>
  <cols>
    <col min="1" max="1" width="100" customWidth="1"/>
  </cols>
  <sheetData>
    <row r="1" spans="1:8" ht="30" customHeight="1" x14ac:dyDescent="0.35">
      <c r="A1" s="53" t="s">
        <v>0</v>
      </c>
      <c r="B1" s="54"/>
      <c r="C1" s="54"/>
      <c r="D1" s="54"/>
      <c r="E1" s="54"/>
      <c r="F1" s="54"/>
      <c r="G1" s="54"/>
      <c r="H1" s="54"/>
    </row>
    <row r="3" spans="1:8" ht="39.5" customHeight="1" x14ac:dyDescent="0.35">
      <c r="A3" s="60" t="s">
        <v>1</v>
      </c>
      <c r="B3" s="61"/>
      <c r="C3" s="61"/>
      <c r="D3" s="61"/>
      <c r="E3" s="61"/>
      <c r="F3" s="61"/>
      <c r="G3" s="61"/>
      <c r="H3" s="61"/>
    </row>
    <row r="4" spans="1:8" ht="39.5" customHeight="1" x14ac:dyDescent="0.35">
      <c r="A4" s="60" t="s">
        <v>2</v>
      </c>
      <c r="B4" s="61"/>
      <c r="C4" s="61"/>
      <c r="D4" s="61"/>
      <c r="E4" s="61"/>
      <c r="F4" s="61"/>
      <c r="G4" s="61"/>
      <c r="H4" s="61"/>
    </row>
    <row r="5" spans="1:8" ht="39.5" customHeight="1" x14ac:dyDescent="0.35">
      <c r="A5" s="60" t="s">
        <v>3</v>
      </c>
      <c r="B5" s="61"/>
      <c r="C5" s="61"/>
      <c r="D5" s="61"/>
      <c r="E5" s="61"/>
      <c r="F5" s="61"/>
      <c r="G5" s="61"/>
      <c r="H5" s="61"/>
    </row>
    <row r="6" spans="1:8" ht="39.5" customHeight="1" x14ac:dyDescent="0.35">
      <c r="A6" s="60" t="s">
        <v>4</v>
      </c>
      <c r="B6" s="61"/>
      <c r="C6" s="61"/>
      <c r="D6" s="61"/>
      <c r="E6" s="61"/>
      <c r="F6" s="61"/>
      <c r="G6" s="61"/>
      <c r="H6" s="61"/>
    </row>
    <row r="7" spans="1:8" x14ac:dyDescent="0.35">
      <c r="A7" s="1"/>
    </row>
    <row r="8" spans="1:8" x14ac:dyDescent="0.35">
      <c r="A8" s="60" t="s">
        <v>5</v>
      </c>
      <c r="B8" s="61"/>
      <c r="C8" s="61"/>
      <c r="D8" s="61"/>
      <c r="E8" s="61"/>
      <c r="F8" s="61"/>
      <c r="G8" s="61"/>
      <c r="H8" s="61"/>
    </row>
    <row r="9" spans="1:8" x14ac:dyDescent="0.35">
      <c r="A9" s="1"/>
    </row>
    <row r="10" spans="1:8" x14ac:dyDescent="0.35">
      <c r="A10" s="1" t="s">
        <v>6</v>
      </c>
    </row>
  </sheetData>
  <mergeCells count="6">
    <mergeCell ref="A8:H8"/>
    <mergeCell ref="A1:H1"/>
    <mergeCell ref="A3:H3"/>
    <mergeCell ref="A4:H4"/>
    <mergeCell ref="A5:H5"/>
    <mergeCell ref="A6:H6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"/>
  <sheetViews>
    <sheetView workbookViewId="0">
      <pane ySplit="1" topLeftCell="A36" activePane="bottomLeft" state="frozen"/>
      <selection pane="bottomLeft" activeCell="A2" sqref="A2"/>
    </sheetView>
  </sheetViews>
  <sheetFormatPr defaultRowHeight="14.5" x14ac:dyDescent="0.35"/>
  <cols>
    <col min="1" max="1" width="12" customWidth="1"/>
    <col min="2" max="2" width="25" customWidth="1"/>
    <col min="4" max="4" width="25" customWidth="1"/>
    <col min="6" max="6" width="12" customWidth="1"/>
  </cols>
  <sheetData>
    <row r="1" spans="1:6" ht="14.65" customHeight="1" x14ac:dyDescent="0.35">
      <c r="A1" s="17" t="s">
        <v>7</v>
      </c>
      <c r="B1" s="17" t="s">
        <v>8</v>
      </c>
      <c r="C1" s="18"/>
      <c r="D1" s="17" t="s">
        <v>9</v>
      </c>
      <c r="E1" s="18"/>
      <c r="F1" s="17" t="s">
        <v>10</v>
      </c>
    </row>
    <row r="2" spans="1:6" x14ac:dyDescent="0.35">
      <c r="A2" s="19" t="s">
        <v>11</v>
      </c>
      <c r="B2" s="20" t="s">
        <v>12</v>
      </c>
      <c r="C2" s="21"/>
      <c r="D2" s="20" t="s">
        <v>13</v>
      </c>
      <c r="E2" s="21"/>
      <c r="F2" s="20" t="s">
        <v>11</v>
      </c>
    </row>
    <row r="3" spans="1:6" ht="17" customHeight="1" x14ac:dyDescent="0.35">
      <c r="A3" s="19" t="s">
        <v>11</v>
      </c>
      <c r="B3" s="22" t="s">
        <v>14</v>
      </c>
      <c r="C3" s="21"/>
      <c r="D3" s="20" t="s">
        <v>15</v>
      </c>
      <c r="E3" s="21"/>
      <c r="F3" s="20" t="s">
        <v>16</v>
      </c>
    </row>
    <row r="4" spans="1:6" ht="17" customHeight="1" x14ac:dyDescent="0.35">
      <c r="A4" s="19" t="s">
        <v>11</v>
      </c>
      <c r="B4" s="22" t="s">
        <v>17</v>
      </c>
      <c r="C4" s="21"/>
      <c r="D4" s="20" t="s">
        <v>18</v>
      </c>
      <c r="E4" s="21"/>
      <c r="F4" s="20" t="s">
        <v>19</v>
      </c>
    </row>
    <row r="5" spans="1:6" x14ac:dyDescent="0.35">
      <c r="A5" s="19" t="s">
        <v>11</v>
      </c>
      <c r="B5" s="20" t="s">
        <v>20</v>
      </c>
      <c r="C5" s="21"/>
      <c r="D5" s="20" t="s">
        <v>21</v>
      </c>
      <c r="E5" s="21"/>
      <c r="F5" s="20" t="s">
        <v>22</v>
      </c>
    </row>
    <row r="6" spans="1:6" x14ac:dyDescent="0.35">
      <c r="A6" s="19" t="s">
        <v>11</v>
      </c>
      <c r="B6" s="20" t="s">
        <v>23</v>
      </c>
      <c r="C6" s="21"/>
      <c r="D6" s="20" t="s">
        <v>24</v>
      </c>
      <c r="E6" s="21"/>
      <c r="F6" s="20" t="s">
        <v>25</v>
      </c>
    </row>
    <row r="7" spans="1:6" ht="17" customHeight="1" x14ac:dyDescent="0.45">
      <c r="A7" s="19" t="s">
        <v>11</v>
      </c>
      <c r="B7" s="23" t="s">
        <v>26</v>
      </c>
      <c r="C7" s="21"/>
      <c r="D7" s="20" t="s">
        <v>27</v>
      </c>
      <c r="E7" s="21"/>
      <c r="F7" s="21"/>
    </row>
    <row r="8" spans="1:6" x14ac:dyDescent="0.35">
      <c r="A8" s="19" t="s">
        <v>11</v>
      </c>
      <c r="B8" s="20" t="s">
        <v>28</v>
      </c>
      <c r="C8" s="21"/>
      <c r="D8" s="20" t="s">
        <v>29</v>
      </c>
      <c r="E8" s="21"/>
      <c r="F8" s="21"/>
    </row>
    <row r="9" spans="1:6" ht="17" customHeight="1" x14ac:dyDescent="0.45">
      <c r="A9" s="19" t="s">
        <v>11</v>
      </c>
      <c r="B9" s="23" t="s">
        <v>30</v>
      </c>
      <c r="C9" s="21"/>
      <c r="D9" s="20" t="s">
        <v>31</v>
      </c>
      <c r="E9" s="21"/>
      <c r="F9" s="21"/>
    </row>
    <row r="10" spans="1:6" x14ac:dyDescent="0.35">
      <c r="A10" s="19" t="s">
        <v>11</v>
      </c>
      <c r="B10" s="20" t="s">
        <v>32</v>
      </c>
      <c r="C10" s="21"/>
      <c r="D10" s="20" t="s">
        <v>33</v>
      </c>
      <c r="E10" s="21"/>
      <c r="F10" s="21"/>
    </row>
    <row r="11" spans="1:6" x14ac:dyDescent="0.35">
      <c r="A11" s="19" t="s">
        <v>11</v>
      </c>
      <c r="B11" s="20" t="s">
        <v>34</v>
      </c>
      <c r="C11" s="21"/>
      <c r="D11" s="20" t="s">
        <v>35</v>
      </c>
      <c r="E11" s="21"/>
      <c r="F11" s="21"/>
    </row>
    <row r="12" spans="1:6" x14ac:dyDescent="0.35">
      <c r="A12" s="19" t="s">
        <v>11</v>
      </c>
      <c r="B12" s="20" t="s">
        <v>36</v>
      </c>
      <c r="C12" s="21"/>
      <c r="D12" s="20" t="s">
        <v>37</v>
      </c>
      <c r="E12" s="21"/>
      <c r="F12" s="21"/>
    </row>
    <row r="13" spans="1:6" x14ac:dyDescent="0.35">
      <c r="A13" s="19" t="s">
        <v>11</v>
      </c>
      <c r="B13" s="20" t="s">
        <v>38</v>
      </c>
      <c r="C13" s="21"/>
      <c r="D13" s="20" t="s">
        <v>39</v>
      </c>
      <c r="E13" s="21"/>
      <c r="F13" s="21"/>
    </row>
    <row r="14" spans="1:6" x14ac:dyDescent="0.35">
      <c r="A14" s="19" t="s">
        <v>11</v>
      </c>
      <c r="B14" s="20" t="s">
        <v>40</v>
      </c>
      <c r="C14" s="21"/>
      <c r="D14" s="20" t="s">
        <v>41</v>
      </c>
      <c r="E14" s="21"/>
      <c r="F14" s="21"/>
    </row>
    <row r="15" spans="1:6" x14ac:dyDescent="0.35">
      <c r="A15" s="19" t="s">
        <v>11</v>
      </c>
      <c r="B15" s="20" t="s">
        <v>39</v>
      </c>
      <c r="C15" s="21"/>
      <c r="D15" s="20" t="s">
        <v>23</v>
      </c>
      <c r="E15" s="21"/>
      <c r="F15" s="21"/>
    </row>
    <row r="16" spans="1:6" x14ac:dyDescent="0.35">
      <c r="A16" s="19" t="s">
        <v>11</v>
      </c>
      <c r="B16" s="20" t="s">
        <v>42</v>
      </c>
      <c r="C16" s="21"/>
      <c r="D16" s="20" t="s">
        <v>20</v>
      </c>
      <c r="E16" s="21"/>
      <c r="F16" s="21"/>
    </row>
    <row r="17" spans="1:6" x14ac:dyDescent="0.35">
      <c r="A17" s="24" t="s">
        <v>16</v>
      </c>
      <c r="B17" s="20" t="s">
        <v>43</v>
      </c>
      <c r="C17" s="21"/>
      <c r="D17" s="20" t="s">
        <v>44</v>
      </c>
      <c r="E17" s="21"/>
      <c r="F17" s="21"/>
    </row>
    <row r="18" spans="1:6" ht="17" customHeight="1" x14ac:dyDescent="0.35">
      <c r="A18" s="24" t="s">
        <v>16</v>
      </c>
      <c r="B18" s="22" t="s">
        <v>45</v>
      </c>
      <c r="C18" s="21"/>
      <c r="D18" s="20" t="s">
        <v>46</v>
      </c>
      <c r="E18" s="21"/>
      <c r="F18" s="21"/>
    </row>
    <row r="19" spans="1:6" x14ac:dyDescent="0.35">
      <c r="A19" s="24" t="s">
        <v>16</v>
      </c>
      <c r="B19" s="20" t="s">
        <v>47</v>
      </c>
      <c r="C19" s="21"/>
      <c r="D19" s="20" t="s">
        <v>43</v>
      </c>
      <c r="E19" s="21"/>
      <c r="F19" s="21"/>
    </row>
    <row r="20" spans="1:6" x14ac:dyDescent="0.35">
      <c r="A20" s="24" t="s">
        <v>16</v>
      </c>
      <c r="B20" s="20" t="s">
        <v>37</v>
      </c>
      <c r="C20" s="21"/>
      <c r="D20" s="20" t="s">
        <v>48</v>
      </c>
      <c r="E20" s="21"/>
      <c r="F20" s="21"/>
    </row>
    <row r="21" spans="1:6" x14ac:dyDescent="0.35">
      <c r="A21" s="24" t="s">
        <v>16</v>
      </c>
      <c r="B21" s="20" t="s">
        <v>49</v>
      </c>
      <c r="C21" s="21"/>
      <c r="D21" s="20" t="s">
        <v>32</v>
      </c>
      <c r="E21" s="21"/>
      <c r="F21" s="21"/>
    </row>
    <row r="22" spans="1:6" ht="17" customHeight="1" x14ac:dyDescent="0.35">
      <c r="A22" s="24" t="s">
        <v>16</v>
      </c>
      <c r="B22" s="22" t="s">
        <v>50</v>
      </c>
      <c r="C22" s="21"/>
      <c r="D22" s="20" t="s">
        <v>17</v>
      </c>
      <c r="E22" s="21"/>
      <c r="F22" s="21"/>
    </row>
    <row r="23" spans="1:6" x14ac:dyDescent="0.35">
      <c r="A23" s="24" t="s">
        <v>16</v>
      </c>
      <c r="B23" s="20" t="s">
        <v>35</v>
      </c>
      <c r="C23" s="21"/>
      <c r="D23" s="20" t="s">
        <v>51</v>
      </c>
      <c r="E23" s="21"/>
      <c r="F23" s="21"/>
    </row>
    <row r="24" spans="1:6" x14ac:dyDescent="0.35">
      <c r="A24" s="24" t="s">
        <v>16</v>
      </c>
      <c r="B24" s="20" t="s">
        <v>51</v>
      </c>
      <c r="C24" s="21"/>
      <c r="D24" s="20" t="s">
        <v>38</v>
      </c>
      <c r="E24" s="21"/>
      <c r="F24" s="21"/>
    </row>
    <row r="25" spans="1:6" x14ac:dyDescent="0.35">
      <c r="A25" s="24" t="s">
        <v>16</v>
      </c>
      <c r="B25" s="20" t="s">
        <v>52</v>
      </c>
      <c r="C25" s="21"/>
      <c r="D25" s="20" t="s">
        <v>49</v>
      </c>
      <c r="E25" s="21"/>
      <c r="F25" s="21"/>
    </row>
    <row r="26" spans="1:6" x14ac:dyDescent="0.35">
      <c r="A26" s="24" t="s">
        <v>16</v>
      </c>
      <c r="B26" s="20" t="s">
        <v>53</v>
      </c>
      <c r="C26" s="21"/>
      <c r="D26" s="20" t="s">
        <v>54</v>
      </c>
      <c r="E26" s="21"/>
      <c r="F26" s="21"/>
    </row>
    <row r="27" spans="1:6" x14ac:dyDescent="0.35">
      <c r="A27" s="25" t="s">
        <v>19</v>
      </c>
      <c r="B27" s="20" t="s">
        <v>35</v>
      </c>
      <c r="C27" s="21"/>
      <c r="D27" s="20" t="s">
        <v>55</v>
      </c>
      <c r="E27" s="21"/>
      <c r="F27" s="21"/>
    </row>
    <row r="28" spans="1:6" x14ac:dyDescent="0.35">
      <c r="A28" s="25" t="s">
        <v>19</v>
      </c>
      <c r="B28" s="20" t="s">
        <v>44</v>
      </c>
      <c r="C28" s="21"/>
      <c r="D28" s="20" t="s">
        <v>47</v>
      </c>
      <c r="E28" s="21"/>
      <c r="F28" s="21"/>
    </row>
    <row r="29" spans="1:6" x14ac:dyDescent="0.35">
      <c r="A29" s="25" t="s">
        <v>19</v>
      </c>
      <c r="B29" s="20" t="s">
        <v>31</v>
      </c>
      <c r="C29" s="21"/>
      <c r="D29" s="20" t="s">
        <v>42</v>
      </c>
      <c r="E29" s="21"/>
      <c r="F29" s="21"/>
    </row>
    <row r="30" spans="1:6" x14ac:dyDescent="0.35">
      <c r="A30" s="25" t="s">
        <v>19</v>
      </c>
      <c r="B30" s="20" t="s">
        <v>49</v>
      </c>
      <c r="C30" s="21"/>
      <c r="D30" s="20" t="s">
        <v>56</v>
      </c>
      <c r="E30" s="21"/>
      <c r="F30" s="21"/>
    </row>
    <row r="31" spans="1:6" ht="17" customHeight="1" x14ac:dyDescent="0.35">
      <c r="A31" s="25" t="s">
        <v>19</v>
      </c>
      <c r="B31" s="26" t="s">
        <v>50</v>
      </c>
      <c r="C31" s="21"/>
      <c r="D31" s="20" t="s">
        <v>57</v>
      </c>
      <c r="E31" s="21"/>
      <c r="F31" s="21"/>
    </row>
    <row r="32" spans="1:6" ht="17" customHeight="1" x14ac:dyDescent="0.35">
      <c r="A32" s="25" t="s">
        <v>19</v>
      </c>
      <c r="B32" s="22" t="s">
        <v>58</v>
      </c>
      <c r="C32" s="21"/>
      <c r="D32" s="20" t="s">
        <v>12</v>
      </c>
      <c r="E32" s="21"/>
      <c r="F32" s="21"/>
    </row>
    <row r="33" spans="1:6" x14ac:dyDescent="0.35">
      <c r="A33" s="25" t="s">
        <v>19</v>
      </c>
      <c r="B33" s="20" t="s">
        <v>59</v>
      </c>
      <c r="C33" s="21"/>
      <c r="D33" s="20" t="s">
        <v>40</v>
      </c>
      <c r="E33" s="21"/>
      <c r="F33" s="21"/>
    </row>
    <row r="34" spans="1:6" x14ac:dyDescent="0.35">
      <c r="A34" s="25" t="s">
        <v>19</v>
      </c>
      <c r="B34" s="20" t="s">
        <v>60</v>
      </c>
      <c r="C34" s="21"/>
      <c r="D34" s="20" t="s">
        <v>52</v>
      </c>
      <c r="E34" s="21"/>
      <c r="F34" s="21"/>
    </row>
    <row r="35" spans="1:6" x14ac:dyDescent="0.35">
      <c r="A35" s="25" t="s">
        <v>19</v>
      </c>
      <c r="B35" s="20" t="s">
        <v>29</v>
      </c>
      <c r="C35" s="21"/>
      <c r="D35" s="20" t="s">
        <v>53</v>
      </c>
      <c r="E35" s="21"/>
      <c r="F35" s="21"/>
    </row>
    <row r="36" spans="1:6" x14ac:dyDescent="0.35">
      <c r="A36" s="25" t="s">
        <v>19</v>
      </c>
      <c r="B36" s="20" t="s">
        <v>61</v>
      </c>
      <c r="C36" s="21"/>
      <c r="D36" s="20" t="s">
        <v>61</v>
      </c>
      <c r="E36" s="21"/>
      <c r="F36" s="21"/>
    </row>
    <row r="37" spans="1:6" x14ac:dyDescent="0.35">
      <c r="A37" s="25" t="s">
        <v>19</v>
      </c>
      <c r="B37" s="20" t="s">
        <v>56</v>
      </c>
      <c r="C37" s="21"/>
      <c r="D37" s="20" t="s">
        <v>60</v>
      </c>
      <c r="E37" s="21"/>
      <c r="F37" s="21"/>
    </row>
    <row r="38" spans="1:6" x14ac:dyDescent="0.35">
      <c r="A38" s="25" t="s">
        <v>19</v>
      </c>
      <c r="B38" s="20" t="s">
        <v>27</v>
      </c>
      <c r="C38" s="21"/>
      <c r="D38" s="20" t="s">
        <v>59</v>
      </c>
      <c r="E38" s="21"/>
      <c r="F38" s="21"/>
    </row>
    <row r="39" spans="1:6" x14ac:dyDescent="0.35">
      <c r="A39" s="25" t="s">
        <v>19</v>
      </c>
      <c r="B39" s="20" t="s">
        <v>46</v>
      </c>
      <c r="C39" s="21"/>
      <c r="D39" s="20" t="s">
        <v>36</v>
      </c>
      <c r="E39" s="21"/>
      <c r="F39" s="21"/>
    </row>
    <row r="40" spans="1:6" x14ac:dyDescent="0.35">
      <c r="A40" s="25" t="s">
        <v>19</v>
      </c>
      <c r="B40" s="20" t="s">
        <v>24</v>
      </c>
      <c r="C40" s="21"/>
      <c r="D40" s="20" t="s">
        <v>34</v>
      </c>
      <c r="E40" s="21"/>
      <c r="F40" s="21"/>
    </row>
    <row r="41" spans="1:6" x14ac:dyDescent="0.35">
      <c r="A41" s="25" t="s">
        <v>19</v>
      </c>
      <c r="B41" s="20" t="s">
        <v>18</v>
      </c>
      <c r="C41" s="21"/>
      <c r="D41" s="20" t="s">
        <v>62</v>
      </c>
      <c r="E41" s="21"/>
      <c r="F41" s="21"/>
    </row>
    <row r="42" spans="1:6" x14ac:dyDescent="0.35">
      <c r="A42" s="27" t="s">
        <v>22</v>
      </c>
      <c r="B42" s="20" t="s">
        <v>48</v>
      </c>
      <c r="C42" s="21"/>
      <c r="D42" s="20" t="s">
        <v>28</v>
      </c>
      <c r="E42" s="21"/>
      <c r="F42" s="21"/>
    </row>
    <row r="43" spans="1:6" x14ac:dyDescent="0.35">
      <c r="A43" s="27" t="s">
        <v>22</v>
      </c>
      <c r="B43" s="20" t="s">
        <v>62</v>
      </c>
      <c r="C43" s="21"/>
      <c r="D43" s="21"/>
      <c r="E43" s="21"/>
      <c r="F43" s="21"/>
    </row>
    <row r="44" spans="1:6" x14ac:dyDescent="0.35">
      <c r="A44" s="27" t="s">
        <v>22</v>
      </c>
      <c r="B44" s="20" t="s">
        <v>55</v>
      </c>
      <c r="C44" s="21"/>
      <c r="D44" s="21"/>
      <c r="E44" s="21"/>
      <c r="F44" s="21"/>
    </row>
    <row r="45" spans="1:6" x14ac:dyDescent="0.35">
      <c r="A45" s="27" t="s">
        <v>22</v>
      </c>
      <c r="B45" s="20" t="s">
        <v>41</v>
      </c>
      <c r="C45" s="21"/>
      <c r="D45" s="21"/>
      <c r="E45" s="21"/>
      <c r="F45" s="21"/>
    </row>
    <row r="46" spans="1:6" x14ac:dyDescent="0.35">
      <c r="A46" s="27" t="s">
        <v>22</v>
      </c>
      <c r="B46" s="20" t="s">
        <v>54</v>
      </c>
      <c r="C46" s="21"/>
      <c r="D46" s="21"/>
      <c r="E46" s="21"/>
      <c r="F46" s="21"/>
    </row>
    <row r="47" spans="1:6" ht="17" customHeight="1" x14ac:dyDescent="0.35">
      <c r="A47" s="27" t="s">
        <v>22</v>
      </c>
      <c r="B47" s="20" t="s">
        <v>63</v>
      </c>
      <c r="C47" s="21"/>
      <c r="D47" s="21"/>
      <c r="E47" s="21"/>
      <c r="F47" s="21"/>
    </row>
    <row r="48" spans="1:6" x14ac:dyDescent="0.35">
      <c r="A48" s="27" t="s">
        <v>22</v>
      </c>
      <c r="B48" s="20" t="s">
        <v>33</v>
      </c>
      <c r="C48" s="21"/>
      <c r="D48" s="21"/>
      <c r="E48" s="21"/>
      <c r="F48" s="21"/>
    </row>
    <row r="49" spans="1:6" x14ac:dyDescent="0.35">
      <c r="A49" s="28" t="s">
        <v>25</v>
      </c>
      <c r="B49" s="20" t="s">
        <v>13</v>
      </c>
      <c r="C49" s="21"/>
      <c r="D49" s="21"/>
      <c r="E49" s="21"/>
      <c r="F49" s="21"/>
    </row>
    <row r="50" spans="1:6" x14ac:dyDescent="0.35">
      <c r="A50" s="28" t="s">
        <v>25</v>
      </c>
      <c r="B50" s="20" t="s">
        <v>15</v>
      </c>
      <c r="C50" s="21"/>
      <c r="D50" s="21"/>
      <c r="E50" s="21"/>
      <c r="F50" s="21"/>
    </row>
    <row r="51" spans="1:6" x14ac:dyDescent="0.35">
      <c r="A51" s="28" t="s">
        <v>25</v>
      </c>
      <c r="B51" s="20" t="s">
        <v>21</v>
      </c>
      <c r="C51" s="21"/>
      <c r="D51" s="21"/>
      <c r="E51" s="21"/>
      <c r="F51" s="21"/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workbookViewId="0">
      <pane ySplit="1" topLeftCell="A2" activePane="bottomLeft" state="frozen"/>
      <selection pane="bottomLeft" activeCell="C15" sqref="C15"/>
    </sheetView>
  </sheetViews>
  <sheetFormatPr defaultColWidth="25.08984375" defaultRowHeight="14.5" x14ac:dyDescent="0.35"/>
  <cols>
    <col min="1" max="1" width="25" bestFit="1" customWidth="1"/>
    <col min="2" max="2" width="25" customWidth="1"/>
    <col min="3" max="4" width="25" bestFit="1" customWidth="1"/>
  </cols>
  <sheetData>
    <row r="1" spans="1:4" x14ac:dyDescent="0.35">
      <c r="A1" s="29" t="s">
        <v>11</v>
      </c>
      <c r="B1" s="30" t="s">
        <v>16</v>
      </c>
      <c r="C1" s="31" t="s">
        <v>22</v>
      </c>
      <c r="D1" s="32" t="s">
        <v>19</v>
      </c>
    </row>
    <row r="2" spans="1:4" x14ac:dyDescent="0.35">
      <c r="A2" s="33" t="s">
        <v>12</v>
      </c>
      <c r="B2" s="33" t="s">
        <v>43</v>
      </c>
      <c r="C2" s="33" t="s">
        <v>48</v>
      </c>
      <c r="D2" s="33" t="s">
        <v>35</v>
      </c>
    </row>
    <row r="3" spans="1:4" ht="17" customHeight="1" x14ac:dyDescent="0.35">
      <c r="A3" s="34" t="s">
        <v>14</v>
      </c>
      <c r="B3" s="35" t="s">
        <v>45</v>
      </c>
      <c r="C3" s="33" t="s">
        <v>62</v>
      </c>
      <c r="D3" s="33" t="s">
        <v>44</v>
      </c>
    </row>
    <row r="4" spans="1:4" ht="17" customHeight="1" x14ac:dyDescent="0.35">
      <c r="A4" s="36" t="s">
        <v>17</v>
      </c>
      <c r="B4" s="33" t="s">
        <v>47</v>
      </c>
      <c r="C4" s="33" t="s">
        <v>55</v>
      </c>
      <c r="D4" s="33" t="s">
        <v>31</v>
      </c>
    </row>
    <row r="5" spans="1:4" ht="17" customHeight="1" x14ac:dyDescent="0.35">
      <c r="A5" s="34" t="s">
        <v>20</v>
      </c>
      <c r="B5" s="37" t="s">
        <v>37</v>
      </c>
      <c r="C5" s="33" t="s">
        <v>41</v>
      </c>
      <c r="D5" s="33" t="s">
        <v>49</v>
      </c>
    </row>
    <row r="6" spans="1:4" ht="17" customHeight="1" x14ac:dyDescent="0.35">
      <c r="A6" s="37" t="s">
        <v>23</v>
      </c>
      <c r="B6" s="33" t="s">
        <v>49</v>
      </c>
      <c r="C6" s="33" t="s">
        <v>54</v>
      </c>
      <c r="D6" s="38" t="s">
        <v>50</v>
      </c>
    </row>
    <row r="7" spans="1:4" ht="17" customHeight="1" x14ac:dyDescent="0.35">
      <c r="A7" s="35" t="s">
        <v>26</v>
      </c>
      <c r="B7" s="33" t="s">
        <v>35</v>
      </c>
      <c r="C7" s="33" t="s">
        <v>33</v>
      </c>
      <c r="D7" s="37" t="s">
        <v>58</v>
      </c>
    </row>
    <row r="8" spans="1:4" ht="17" customHeight="1" x14ac:dyDescent="0.35">
      <c r="A8" s="33" t="s">
        <v>28</v>
      </c>
      <c r="B8" s="33" t="s">
        <v>51</v>
      </c>
      <c r="C8" s="33" t="s">
        <v>63</v>
      </c>
      <c r="D8" s="33" t="s">
        <v>59</v>
      </c>
    </row>
    <row r="9" spans="1:4" ht="17" customHeight="1" x14ac:dyDescent="0.35">
      <c r="A9" s="35" t="s">
        <v>30</v>
      </c>
      <c r="B9" s="33" t="s">
        <v>64</v>
      </c>
      <c r="C9" s="33" t="s">
        <v>13</v>
      </c>
      <c r="D9" s="33" t="s">
        <v>60</v>
      </c>
    </row>
    <row r="10" spans="1:4" x14ac:dyDescent="0.35">
      <c r="A10" s="33" t="s">
        <v>32</v>
      </c>
      <c r="B10" s="33" t="s">
        <v>65</v>
      </c>
      <c r="C10" s="33" t="s">
        <v>15</v>
      </c>
      <c r="D10" s="33" t="s">
        <v>29</v>
      </c>
    </row>
    <row r="11" spans="1:4" x14ac:dyDescent="0.35">
      <c r="A11" s="33" t="s">
        <v>34</v>
      </c>
      <c r="B11" s="33" t="s">
        <v>13</v>
      </c>
      <c r="C11" s="33" t="s">
        <v>21</v>
      </c>
      <c r="D11" s="33" t="s">
        <v>61</v>
      </c>
    </row>
    <row r="12" spans="1:4" x14ac:dyDescent="0.35">
      <c r="A12" s="33" t="s">
        <v>36</v>
      </c>
      <c r="B12" s="33" t="s">
        <v>15</v>
      </c>
      <c r="C12" s="33"/>
      <c r="D12" s="33" t="s">
        <v>56</v>
      </c>
    </row>
    <row r="13" spans="1:4" x14ac:dyDescent="0.35">
      <c r="A13" s="33" t="s">
        <v>38</v>
      </c>
      <c r="B13" s="33" t="s">
        <v>21</v>
      </c>
      <c r="C13" s="33"/>
      <c r="D13" s="33" t="s">
        <v>27</v>
      </c>
    </row>
    <row r="14" spans="1:4" x14ac:dyDescent="0.35">
      <c r="A14" s="33" t="s">
        <v>40</v>
      </c>
      <c r="B14" s="33"/>
      <c r="C14" s="33"/>
      <c r="D14" s="33" t="s">
        <v>46</v>
      </c>
    </row>
    <row r="15" spans="1:4" x14ac:dyDescent="0.35">
      <c r="A15" s="33" t="s">
        <v>39</v>
      </c>
      <c r="B15" s="33"/>
      <c r="C15" s="33"/>
      <c r="D15" s="33" t="s">
        <v>24</v>
      </c>
    </row>
    <row r="16" spans="1:4" x14ac:dyDescent="0.35">
      <c r="A16" s="33" t="s">
        <v>42</v>
      </c>
      <c r="B16" s="33"/>
      <c r="C16" s="21"/>
      <c r="D16" s="33" t="s">
        <v>18</v>
      </c>
    </row>
    <row r="17" spans="1:4" x14ac:dyDescent="0.35">
      <c r="A17" s="33" t="s">
        <v>13</v>
      </c>
      <c r="B17" s="21"/>
      <c r="C17" s="21"/>
      <c r="D17" s="21" t="s">
        <v>13</v>
      </c>
    </row>
    <row r="18" spans="1:4" x14ac:dyDescent="0.35">
      <c r="A18" s="33" t="s">
        <v>15</v>
      </c>
      <c r="B18" s="21"/>
      <c r="C18" s="21"/>
      <c r="D18" s="21" t="s">
        <v>15</v>
      </c>
    </row>
    <row r="19" spans="1:4" x14ac:dyDescent="0.35">
      <c r="A19" s="21" t="s">
        <v>21</v>
      </c>
      <c r="B19" s="21"/>
      <c r="C19" s="21"/>
      <c r="D19" s="21" t="s">
        <v>21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61"/>
  <sheetViews>
    <sheetView workbookViewId="0">
      <pane ySplit="1" topLeftCell="A41" activePane="bottomLeft" state="frozen"/>
      <selection pane="bottomLeft" activeCell="F6" sqref="F6"/>
    </sheetView>
  </sheetViews>
  <sheetFormatPr defaultRowHeight="14.5" x14ac:dyDescent="0.35"/>
  <cols>
    <col min="1" max="1" width="12" customWidth="1"/>
    <col min="2" max="2" width="10" customWidth="1"/>
    <col min="3" max="3" width="32.54296875" bestFit="1" customWidth="1"/>
    <col min="4" max="4" width="15" bestFit="1" customWidth="1"/>
    <col min="5" max="5" width="8" customWidth="1"/>
    <col min="6" max="6" width="10" customWidth="1"/>
    <col min="7" max="7" width="12" customWidth="1"/>
    <col min="8" max="8" width="18.54296875" bestFit="1" customWidth="1"/>
    <col min="9" max="9" width="8" customWidth="1"/>
  </cols>
  <sheetData>
    <row r="1" spans="1:9" ht="14.65" customHeight="1" x14ac:dyDescent="0.35">
      <c r="A1" s="17" t="s">
        <v>66</v>
      </c>
      <c r="B1" s="17" t="s">
        <v>7</v>
      </c>
      <c r="C1" s="17" t="s">
        <v>8</v>
      </c>
      <c r="D1" s="17" t="s">
        <v>67</v>
      </c>
      <c r="E1" s="17" t="s">
        <v>68</v>
      </c>
      <c r="F1" s="17" t="s">
        <v>69</v>
      </c>
      <c r="G1" s="17" t="s">
        <v>70</v>
      </c>
      <c r="H1" s="17" t="s">
        <v>71</v>
      </c>
      <c r="I1" s="17" t="s">
        <v>72</v>
      </c>
    </row>
    <row r="2" spans="1:9" ht="17" customHeight="1" x14ac:dyDescent="0.35">
      <c r="A2" s="39">
        <v>45901</v>
      </c>
      <c r="B2" s="40" t="s">
        <v>11</v>
      </c>
      <c r="C2" s="40" t="s">
        <v>23</v>
      </c>
      <c r="D2" s="41" t="s">
        <v>73</v>
      </c>
      <c r="E2" s="40">
        <v>2</v>
      </c>
      <c r="F2" s="40">
        <v>42500</v>
      </c>
      <c r="G2" s="42">
        <f t="shared" ref="G2:G65" si="0">IF(OR(E2="",F2=""),"",E2*F2)</f>
        <v>85000</v>
      </c>
      <c r="H2" s="40" t="s">
        <v>74</v>
      </c>
      <c r="I2" s="43" t="str">
        <f>IF(OR(B2="",C2=""),"",IF(COUNTIFS(재료목록!$A$2:$A$51,B2,재료목록!$B$2:$B$51,C2)&gt;0,"OK","불일치"))</f>
        <v>OK</v>
      </c>
    </row>
    <row r="3" spans="1:9" ht="17" customHeight="1" x14ac:dyDescent="0.35">
      <c r="A3" s="39">
        <v>45919</v>
      </c>
      <c r="B3" s="40" t="s">
        <v>22</v>
      </c>
      <c r="C3" s="40" t="s">
        <v>63</v>
      </c>
      <c r="D3" s="41" t="s">
        <v>75</v>
      </c>
      <c r="E3" s="40">
        <v>2</v>
      </c>
      <c r="F3" s="40">
        <v>48000</v>
      </c>
      <c r="G3" s="42">
        <f t="shared" si="0"/>
        <v>96000</v>
      </c>
      <c r="H3" s="40"/>
      <c r="I3" s="43" t="str">
        <f>IF(OR(B3="",C3=""),"",IF(COUNTIFS(재료목록!$A$2:$A$51,B3,재료목록!$B$2:$B$51,C3)&gt;0,"OK","불일치"))</f>
        <v>OK</v>
      </c>
    </row>
    <row r="4" spans="1:9" ht="17" customHeight="1" x14ac:dyDescent="0.35">
      <c r="A4" s="39">
        <v>45922</v>
      </c>
      <c r="B4" s="40" t="s">
        <v>16</v>
      </c>
      <c r="C4" s="40" t="s">
        <v>47</v>
      </c>
      <c r="D4" s="41" t="s">
        <v>76</v>
      </c>
      <c r="E4" s="40">
        <v>2</v>
      </c>
      <c r="F4" s="40">
        <v>8000</v>
      </c>
      <c r="G4" s="42">
        <f t="shared" si="0"/>
        <v>16000</v>
      </c>
      <c r="H4" s="40"/>
      <c r="I4" s="43" t="str">
        <f>IF(OR(B4="",C4=""),"",IF(COUNTIFS(재료목록!$A$2:$A$51,B4,재료목록!$B$2:$B$51,C4)&gt;0,"OK","불일치"))</f>
        <v>OK</v>
      </c>
    </row>
    <row r="5" spans="1:9" ht="17" customHeight="1" x14ac:dyDescent="0.35">
      <c r="A5" s="39">
        <v>45926</v>
      </c>
      <c r="B5" s="40" t="s">
        <v>22</v>
      </c>
      <c r="C5" s="40" t="s">
        <v>55</v>
      </c>
      <c r="D5" s="41" t="s">
        <v>77</v>
      </c>
      <c r="E5" s="40">
        <v>1</v>
      </c>
      <c r="F5" s="40">
        <v>8500</v>
      </c>
      <c r="G5" s="42">
        <f t="shared" si="0"/>
        <v>8500</v>
      </c>
      <c r="H5" s="40"/>
      <c r="I5" s="43" t="str">
        <f>IF(OR(B5="",C5=""),"",IF(COUNTIFS(재료목록!$A$2:$A$51,B5,재료목록!$B$2:$B$51,C5)&gt;0,"OK","불일치"))</f>
        <v>OK</v>
      </c>
    </row>
    <row r="6" spans="1:9" ht="17" customHeight="1" x14ac:dyDescent="0.35">
      <c r="A6" s="39">
        <v>45926</v>
      </c>
      <c r="B6" s="40" t="s">
        <v>22</v>
      </c>
      <c r="C6" s="40" t="s">
        <v>48</v>
      </c>
      <c r="D6" s="41" t="s">
        <v>77</v>
      </c>
      <c r="E6" s="40">
        <v>4</v>
      </c>
      <c r="F6" s="40">
        <v>13000</v>
      </c>
      <c r="G6" s="42">
        <f t="shared" si="0"/>
        <v>52000</v>
      </c>
      <c r="H6" s="40"/>
      <c r="I6" s="43" t="str">
        <f>IF(OR(B6="",C6=""),"",IF(COUNTIFS(재료목록!$A$2:$A$51,B6,재료목록!$B$2:$B$51,C6)&gt;0,"OK","불일치"))</f>
        <v>OK</v>
      </c>
    </row>
    <row r="7" spans="1:9" ht="17" customHeight="1" x14ac:dyDescent="0.35">
      <c r="A7" s="39">
        <v>45926</v>
      </c>
      <c r="B7" s="40" t="s">
        <v>22</v>
      </c>
      <c r="C7" s="40" t="s">
        <v>62</v>
      </c>
      <c r="D7" s="41" t="s">
        <v>77</v>
      </c>
      <c r="E7" s="40">
        <v>3</v>
      </c>
      <c r="F7" s="40">
        <v>8500</v>
      </c>
      <c r="G7" s="42">
        <f t="shared" si="0"/>
        <v>25500</v>
      </c>
      <c r="H7" s="40"/>
      <c r="I7" s="43" t="str">
        <f>IF(OR(B7="",C7=""),"",IF(COUNTIFS(재료목록!$A$2:$A$51,B7,재료목록!$B$2:$B$51,C7)&gt;0,"OK","불일치"))</f>
        <v>OK</v>
      </c>
    </row>
    <row r="8" spans="1:9" ht="17" customHeight="1" x14ac:dyDescent="0.35">
      <c r="A8" s="39">
        <v>45926</v>
      </c>
      <c r="B8" s="40" t="s">
        <v>22</v>
      </c>
      <c r="C8" s="40" t="s">
        <v>55</v>
      </c>
      <c r="D8" s="41" t="s">
        <v>77</v>
      </c>
      <c r="E8" s="40">
        <v>3</v>
      </c>
      <c r="F8" s="40">
        <v>8500</v>
      </c>
      <c r="G8" s="42">
        <f t="shared" si="0"/>
        <v>25500</v>
      </c>
      <c r="H8" s="40"/>
      <c r="I8" s="43" t="str">
        <f>IF(OR(B8="",C8=""),"",IF(COUNTIFS(재료목록!$A$2:$A$51,B8,재료목록!$B$2:$B$51,C8)&gt;0,"OK","불일치"))</f>
        <v>OK</v>
      </c>
    </row>
    <row r="9" spans="1:9" ht="17" customHeight="1" x14ac:dyDescent="0.35">
      <c r="A9" s="39">
        <v>45930</v>
      </c>
      <c r="B9" s="40" t="s">
        <v>11</v>
      </c>
      <c r="C9" s="40" t="s">
        <v>28</v>
      </c>
      <c r="D9" s="41" t="s">
        <v>78</v>
      </c>
      <c r="E9" s="40">
        <v>2</v>
      </c>
      <c r="F9" s="40">
        <v>48000</v>
      </c>
      <c r="G9" s="42">
        <f t="shared" si="0"/>
        <v>96000</v>
      </c>
      <c r="H9" s="40"/>
      <c r="I9" s="43" t="str">
        <f>IF(OR(B9="",C9=""),"",IF(COUNTIFS(재료목록!$A$2:$A$51,B9,재료목록!$B$2:$B$51,C9)&gt;0,"OK","불일치"))</f>
        <v>OK</v>
      </c>
    </row>
    <row r="10" spans="1:9" ht="17" customHeight="1" x14ac:dyDescent="0.35">
      <c r="A10" s="39">
        <v>45930</v>
      </c>
      <c r="B10" s="40" t="s">
        <v>11</v>
      </c>
      <c r="C10" s="44" t="s">
        <v>30</v>
      </c>
      <c r="D10" s="41" t="s">
        <v>78</v>
      </c>
      <c r="E10" s="40">
        <v>1</v>
      </c>
      <c r="F10" s="40">
        <v>-22000</v>
      </c>
      <c r="G10" s="42">
        <f t="shared" si="0"/>
        <v>-22000</v>
      </c>
      <c r="H10" s="40"/>
      <c r="I10" s="43" t="str">
        <f>IF(OR(B10="",C10=""),"",IF(COUNTIFS(재료목록!$A$2:$A$51,B10,재료목록!$B$2:$B$51,C10)&gt;0,"OK","불일치"))</f>
        <v>OK</v>
      </c>
    </row>
    <row r="11" spans="1:9" ht="17" customHeight="1" x14ac:dyDescent="0.35">
      <c r="A11" s="39">
        <v>45931</v>
      </c>
      <c r="B11" s="40" t="s">
        <v>22</v>
      </c>
      <c r="C11" s="40" t="s">
        <v>48</v>
      </c>
      <c r="D11" s="41" t="s">
        <v>77</v>
      </c>
      <c r="E11" s="40">
        <v>1</v>
      </c>
      <c r="F11" s="40">
        <v>13000</v>
      </c>
      <c r="G11" s="42">
        <f t="shared" si="0"/>
        <v>13000</v>
      </c>
      <c r="H11" s="40"/>
      <c r="I11" s="43" t="str">
        <f>IF(OR(B11="",C11=""),"",IF(COUNTIFS(재료목록!$A$2:$A$51,B11,재료목록!$B$2:$B$51,C11)&gt;0,"OK","불일치"))</f>
        <v>OK</v>
      </c>
    </row>
    <row r="12" spans="1:9" ht="17" customHeight="1" x14ac:dyDescent="0.35">
      <c r="A12" s="39">
        <v>45931</v>
      </c>
      <c r="B12" s="40" t="s">
        <v>22</v>
      </c>
      <c r="C12" s="40" t="s">
        <v>62</v>
      </c>
      <c r="D12" s="41" t="s">
        <v>77</v>
      </c>
      <c r="E12" s="40">
        <v>1</v>
      </c>
      <c r="F12" s="40">
        <v>8500</v>
      </c>
      <c r="G12" s="42">
        <f t="shared" si="0"/>
        <v>8500</v>
      </c>
      <c r="H12" s="40"/>
      <c r="I12" s="43" t="str">
        <f>IF(OR(B12="",C12=""),"",IF(COUNTIFS(재료목록!$A$2:$A$51,B12,재료목록!$B$2:$B$51,C12)&gt;0,"OK","불일치"))</f>
        <v>OK</v>
      </c>
    </row>
    <row r="13" spans="1:9" ht="17" customHeight="1" x14ac:dyDescent="0.35">
      <c r="A13" s="39">
        <v>45931</v>
      </c>
      <c r="B13" s="40" t="s">
        <v>22</v>
      </c>
      <c r="C13" s="40" t="s">
        <v>55</v>
      </c>
      <c r="D13" s="41" t="s">
        <v>77</v>
      </c>
      <c r="E13" s="40">
        <v>1</v>
      </c>
      <c r="F13" s="40">
        <v>8500</v>
      </c>
      <c r="G13" s="42">
        <f t="shared" si="0"/>
        <v>8500</v>
      </c>
      <c r="H13" s="40"/>
      <c r="I13" s="43" t="str">
        <f>IF(OR(B13="",C13=""),"",IF(COUNTIFS(재료목록!$A$2:$A$51,B13,재료목록!$B$2:$B$51,C13)&gt;0,"OK","불일치"))</f>
        <v>OK</v>
      </c>
    </row>
    <row r="14" spans="1:9" ht="17" customHeight="1" x14ac:dyDescent="0.35">
      <c r="A14" s="39">
        <v>45932</v>
      </c>
      <c r="B14" s="40" t="s">
        <v>22</v>
      </c>
      <c r="C14" s="40" t="s">
        <v>48</v>
      </c>
      <c r="D14" s="41" t="s">
        <v>77</v>
      </c>
      <c r="E14" s="40">
        <v>1</v>
      </c>
      <c r="F14" s="40">
        <v>13000</v>
      </c>
      <c r="G14" s="42">
        <f t="shared" si="0"/>
        <v>13000</v>
      </c>
      <c r="H14" s="40"/>
      <c r="I14" s="43" t="str">
        <f>IF(OR(B14="",C14=""),"",IF(COUNTIFS(재료목록!$A$2:$A$51,B14,재료목록!$B$2:$B$51,C14)&gt;0,"OK","불일치"))</f>
        <v>OK</v>
      </c>
    </row>
    <row r="15" spans="1:9" ht="17" customHeight="1" x14ac:dyDescent="0.35">
      <c r="A15" s="39">
        <v>45932</v>
      </c>
      <c r="B15" s="40" t="s">
        <v>22</v>
      </c>
      <c r="C15" s="40" t="s">
        <v>55</v>
      </c>
      <c r="D15" s="41" t="s">
        <v>77</v>
      </c>
      <c r="E15" s="40">
        <v>1</v>
      </c>
      <c r="F15" s="40">
        <v>8500</v>
      </c>
      <c r="G15" s="42">
        <f t="shared" si="0"/>
        <v>8500</v>
      </c>
      <c r="H15" s="40"/>
      <c r="I15" s="43" t="str">
        <f>IF(OR(B15="",C15=""),"",IF(COUNTIFS(재료목록!$A$2:$A$51,B15,재료목록!$B$2:$B$51,C15)&gt;0,"OK","불일치"))</f>
        <v>OK</v>
      </c>
    </row>
    <row r="16" spans="1:9" ht="17" customHeight="1" x14ac:dyDescent="0.35">
      <c r="A16" s="39">
        <v>45940</v>
      </c>
      <c r="B16" s="40" t="s">
        <v>22</v>
      </c>
      <c r="C16" s="40" t="s">
        <v>48</v>
      </c>
      <c r="D16" s="41" t="s">
        <v>77</v>
      </c>
      <c r="E16" s="40">
        <v>1</v>
      </c>
      <c r="F16" s="40">
        <v>13000</v>
      </c>
      <c r="G16" s="42">
        <f t="shared" si="0"/>
        <v>13000</v>
      </c>
      <c r="H16" s="40"/>
      <c r="I16" s="43" t="str">
        <f>IF(OR(B16="",C16=""),"",IF(COUNTIFS(재료목록!$A$2:$A$51,B16,재료목록!$B$2:$B$51,C16)&gt;0,"OK","불일치"))</f>
        <v>OK</v>
      </c>
    </row>
    <row r="17" spans="1:9" ht="17" customHeight="1" x14ac:dyDescent="0.35">
      <c r="A17" s="39">
        <v>45940</v>
      </c>
      <c r="B17" s="40" t="s">
        <v>22</v>
      </c>
      <c r="C17" s="40" t="s">
        <v>62</v>
      </c>
      <c r="D17" s="41" t="s">
        <v>77</v>
      </c>
      <c r="E17" s="40">
        <v>1</v>
      </c>
      <c r="F17" s="40">
        <v>8500</v>
      </c>
      <c r="G17" s="42">
        <f t="shared" si="0"/>
        <v>8500</v>
      </c>
      <c r="H17" s="40"/>
      <c r="I17" s="43" t="str">
        <f>IF(OR(B17="",C17=""),"",IF(COUNTIFS(재료목록!$A$2:$A$51,B17,재료목록!$B$2:$B$51,C17)&gt;0,"OK","불일치"))</f>
        <v>OK</v>
      </c>
    </row>
    <row r="18" spans="1:9" ht="17" customHeight="1" x14ac:dyDescent="0.35">
      <c r="A18" s="39">
        <v>45940</v>
      </c>
      <c r="B18" s="40" t="s">
        <v>22</v>
      </c>
      <c r="C18" s="40" t="s">
        <v>55</v>
      </c>
      <c r="D18" s="41" t="s">
        <v>77</v>
      </c>
      <c r="E18" s="40">
        <v>1</v>
      </c>
      <c r="F18" s="40">
        <v>8500</v>
      </c>
      <c r="G18" s="42">
        <f t="shared" si="0"/>
        <v>8500</v>
      </c>
      <c r="H18" s="40"/>
      <c r="I18" s="43" t="str">
        <f>IF(OR(B18="",C18=""),"",IF(COUNTIFS(재료목록!$A$2:$A$51,B18,재료목록!$B$2:$B$51,C18)&gt;0,"OK","불일치"))</f>
        <v>OK</v>
      </c>
    </row>
    <row r="19" spans="1:9" ht="17" customHeight="1" x14ac:dyDescent="0.35">
      <c r="A19" s="39">
        <v>45943</v>
      </c>
      <c r="B19" s="40" t="s">
        <v>16</v>
      </c>
      <c r="C19" s="40" t="s">
        <v>47</v>
      </c>
      <c r="D19" s="41" t="s">
        <v>76</v>
      </c>
      <c r="E19" s="40">
        <v>2</v>
      </c>
      <c r="F19" s="40">
        <v>8000</v>
      </c>
      <c r="G19" s="42">
        <f t="shared" si="0"/>
        <v>16000</v>
      </c>
      <c r="H19" s="40"/>
      <c r="I19" s="43" t="str">
        <f>IF(OR(B19="",C19=""),"",IF(COUNTIFS(재료목록!$A$2:$A$51,B19,재료목록!$B$2:$B$51,C19)&gt;0,"OK","불일치"))</f>
        <v>OK</v>
      </c>
    </row>
    <row r="20" spans="1:9" ht="17" customHeight="1" x14ac:dyDescent="0.35">
      <c r="A20" s="39">
        <v>45943</v>
      </c>
      <c r="B20" s="40" t="s">
        <v>22</v>
      </c>
      <c r="C20" s="40" t="s">
        <v>48</v>
      </c>
      <c r="D20" s="41" t="s">
        <v>77</v>
      </c>
      <c r="E20" s="40">
        <v>2</v>
      </c>
      <c r="F20" s="40">
        <v>13000</v>
      </c>
      <c r="G20" s="42">
        <f t="shared" si="0"/>
        <v>26000</v>
      </c>
      <c r="H20" s="40"/>
      <c r="I20" s="43" t="str">
        <f>IF(OR(B20="",C20=""),"",IF(COUNTIFS(재료목록!$A$2:$A$51,B20,재료목록!$B$2:$B$51,C20)&gt;0,"OK","불일치"))</f>
        <v>OK</v>
      </c>
    </row>
    <row r="21" spans="1:9" ht="17" customHeight="1" x14ac:dyDescent="0.35">
      <c r="A21" s="39">
        <v>45943</v>
      </c>
      <c r="B21" s="40" t="s">
        <v>22</v>
      </c>
      <c r="C21" s="40" t="s">
        <v>62</v>
      </c>
      <c r="D21" s="41" t="s">
        <v>77</v>
      </c>
      <c r="E21" s="40">
        <v>2</v>
      </c>
      <c r="F21" s="40">
        <v>8500</v>
      </c>
      <c r="G21" s="42">
        <f t="shared" si="0"/>
        <v>17000</v>
      </c>
      <c r="H21" s="40"/>
      <c r="I21" s="43" t="str">
        <f>IF(OR(B21="",C21=""),"",IF(COUNTIFS(재료목록!$A$2:$A$51,B21,재료목록!$B$2:$B$51,C21)&gt;0,"OK","불일치"))</f>
        <v>OK</v>
      </c>
    </row>
    <row r="22" spans="1:9" ht="17" customHeight="1" x14ac:dyDescent="0.35">
      <c r="A22" s="39">
        <v>45943</v>
      </c>
      <c r="B22" s="40" t="s">
        <v>22</v>
      </c>
      <c r="C22" s="40" t="s">
        <v>55</v>
      </c>
      <c r="D22" s="41" t="s">
        <v>77</v>
      </c>
      <c r="E22" s="40">
        <v>2</v>
      </c>
      <c r="F22" s="40">
        <v>8500</v>
      </c>
      <c r="G22" s="42">
        <f t="shared" si="0"/>
        <v>17000</v>
      </c>
      <c r="H22" s="40"/>
      <c r="I22" s="43" t="str">
        <f>IF(OR(B22="",C22=""),"",IF(COUNTIFS(재료목록!$A$2:$A$51,B22,재료목록!$B$2:$B$51,C22)&gt;0,"OK","불일치"))</f>
        <v>OK</v>
      </c>
    </row>
    <row r="23" spans="1:9" ht="17" customHeight="1" x14ac:dyDescent="0.35">
      <c r="A23" s="39">
        <v>45944</v>
      </c>
      <c r="B23" s="40" t="s">
        <v>11</v>
      </c>
      <c r="C23" s="40" t="s">
        <v>17</v>
      </c>
      <c r="D23" s="41" t="s">
        <v>79</v>
      </c>
      <c r="E23" s="40">
        <v>10</v>
      </c>
      <c r="F23" s="40">
        <v>6820</v>
      </c>
      <c r="G23" s="42">
        <f t="shared" si="0"/>
        <v>68200</v>
      </c>
      <c r="H23" s="40"/>
      <c r="I23" s="43" t="str">
        <f>IF(OR(B23="",C23=""),"",IF(COUNTIFS(재료목록!$A$2:$A$51,B23,재료목록!$B$2:$B$51,C23)&gt;0,"OK","불일치"))</f>
        <v>OK</v>
      </c>
    </row>
    <row r="24" spans="1:9" ht="17" customHeight="1" x14ac:dyDescent="0.35">
      <c r="A24" s="39">
        <v>45945</v>
      </c>
      <c r="B24" s="40" t="s">
        <v>22</v>
      </c>
      <c r="C24" s="40" t="s">
        <v>48</v>
      </c>
      <c r="D24" s="41" t="s">
        <v>77</v>
      </c>
      <c r="E24" s="40">
        <v>2</v>
      </c>
      <c r="F24" s="40">
        <v>13000</v>
      </c>
      <c r="G24" s="42">
        <f t="shared" si="0"/>
        <v>26000</v>
      </c>
      <c r="H24" s="40"/>
      <c r="I24" s="43" t="str">
        <f>IF(OR(B24="",C24=""),"",IF(COUNTIFS(재료목록!$A$2:$A$51,B24,재료목록!$B$2:$B$51,C24)&gt;0,"OK","불일치"))</f>
        <v>OK</v>
      </c>
    </row>
    <row r="25" spans="1:9" ht="17" customHeight="1" x14ac:dyDescent="0.35">
      <c r="A25" s="39">
        <v>45945</v>
      </c>
      <c r="B25" s="40" t="s">
        <v>22</v>
      </c>
      <c r="C25" s="40" t="s">
        <v>55</v>
      </c>
      <c r="D25" s="41" t="s">
        <v>77</v>
      </c>
      <c r="E25" s="40">
        <v>1</v>
      </c>
      <c r="F25" s="40">
        <v>8500</v>
      </c>
      <c r="G25" s="42">
        <f t="shared" si="0"/>
        <v>8500</v>
      </c>
      <c r="H25" s="40"/>
      <c r="I25" s="43" t="str">
        <f>IF(OR(B25="",C25=""),"",IF(COUNTIFS(재료목록!$A$2:$A$51,B25,재료목록!$B$2:$B$51,C25)&gt;0,"OK","불일치"))</f>
        <v>OK</v>
      </c>
    </row>
    <row r="26" spans="1:9" ht="17" customHeight="1" x14ac:dyDescent="0.35">
      <c r="A26" s="39">
        <v>45945</v>
      </c>
      <c r="B26" s="40" t="s">
        <v>22</v>
      </c>
      <c r="C26" s="40" t="s">
        <v>54</v>
      </c>
      <c r="D26" s="41" t="s">
        <v>77</v>
      </c>
      <c r="E26" s="40">
        <v>1</v>
      </c>
      <c r="F26" s="40">
        <v>2000</v>
      </c>
      <c r="G26" s="42">
        <f t="shared" si="0"/>
        <v>2000</v>
      </c>
      <c r="H26" s="40"/>
      <c r="I26" s="43" t="str">
        <f>IF(OR(B26="",C26=""),"",IF(COUNTIFS(재료목록!$A$2:$A$51,B26,재료목록!$B$2:$B$51,C26)&gt;0,"OK","불일치"))</f>
        <v>OK</v>
      </c>
    </row>
    <row r="27" spans="1:9" ht="17" customHeight="1" x14ac:dyDescent="0.35">
      <c r="A27" s="39">
        <v>45945</v>
      </c>
      <c r="B27" s="40" t="s">
        <v>22</v>
      </c>
      <c r="C27" s="40" t="s">
        <v>33</v>
      </c>
      <c r="D27" s="41" t="s">
        <v>77</v>
      </c>
      <c r="E27" s="40">
        <v>1</v>
      </c>
      <c r="F27" s="40">
        <v>2200</v>
      </c>
      <c r="G27" s="42">
        <f t="shared" si="0"/>
        <v>2200</v>
      </c>
      <c r="H27" s="40"/>
      <c r="I27" s="43" t="str">
        <f>IF(OR(B27="",C27=""),"",IF(COUNTIFS(재료목록!$A$2:$A$51,B27,재료목록!$B$2:$B$51,C27)&gt;0,"OK","불일치"))</f>
        <v>OK</v>
      </c>
    </row>
    <row r="28" spans="1:9" ht="17" customHeight="1" x14ac:dyDescent="0.35">
      <c r="A28" s="39">
        <v>45947</v>
      </c>
      <c r="B28" s="40" t="s">
        <v>22</v>
      </c>
      <c r="C28" s="40" t="s">
        <v>48</v>
      </c>
      <c r="D28" s="41" t="s">
        <v>77</v>
      </c>
      <c r="E28" s="40">
        <v>2</v>
      </c>
      <c r="F28" s="40">
        <v>13000</v>
      </c>
      <c r="G28" s="42">
        <f t="shared" si="0"/>
        <v>26000</v>
      </c>
      <c r="H28" s="40"/>
      <c r="I28" s="43" t="str">
        <f>IF(OR(B28="",C28=""),"",IF(COUNTIFS(재료목록!$A$2:$A$51,B28,재료목록!$B$2:$B$51,C28)&gt;0,"OK","불일치"))</f>
        <v>OK</v>
      </c>
    </row>
    <row r="29" spans="1:9" ht="17" customHeight="1" x14ac:dyDescent="0.35">
      <c r="A29" s="39">
        <v>45947</v>
      </c>
      <c r="B29" s="40" t="s">
        <v>22</v>
      </c>
      <c r="C29" s="40" t="s">
        <v>62</v>
      </c>
      <c r="D29" s="41" t="s">
        <v>77</v>
      </c>
      <c r="E29" s="40">
        <v>1</v>
      </c>
      <c r="F29" s="40">
        <v>8500</v>
      </c>
      <c r="G29" s="42">
        <f t="shared" si="0"/>
        <v>8500</v>
      </c>
      <c r="H29" s="40"/>
      <c r="I29" s="43" t="str">
        <f>IF(OR(B29="",C29=""),"",IF(COUNTIFS(재료목록!$A$2:$A$51,B29,재료목록!$B$2:$B$51,C29)&gt;0,"OK","불일치"))</f>
        <v>OK</v>
      </c>
    </row>
    <row r="30" spans="1:9" ht="17" customHeight="1" x14ac:dyDescent="0.35">
      <c r="A30" s="39">
        <v>45947</v>
      </c>
      <c r="B30" s="40" t="s">
        <v>22</v>
      </c>
      <c r="C30" s="40" t="s">
        <v>55</v>
      </c>
      <c r="D30" s="41" t="s">
        <v>77</v>
      </c>
      <c r="E30" s="40">
        <v>2</v>
      </c>
      <c r="F30" s="40">
        <v>8500</v>
      </c>
      <c r="G30" s="42">
        <f t="shared" si="0"/>
        <v>17000</v>
      </c>
      <c r="H30" s="40"/>
      <c r="I30" s="43" t="str">
        <f>IF(OR(B30="",C30=""),"",IF(COUNTIFS(재료목록!$A$2:$A$51,B30,재료목록!$B$2:$B$51,C30)&gt;0,"OK","불일치"))</f>
        <v>OK</v>
      </c>
    </row>
    <row r="31" spans="1:9" ht="17" customHeight="1" x14ac:dyDescent="0.35">
      <c r="A31" s="39">
        <v>45948</v>
      </c>
      <c r="B31" s="40" t="s">
        <v>16</v>
      </c>
      <c r="C31" s="40" t="s">
        <v>47</v>
      </c>
      <c r="D31" s="41" t="s">
        <v>76</v>
      </c>
      <c r="E31" s="40">
        <v>2</v>
      </c>
      <c r="F31" s="40">
        <v>8000</v>
      </c>
      <c r="G31" s="42">
        <f t="shared" si="0"/>
        <v>16000</v>
      </c>
      <c r="H31" s="40"/>
      <c r="I31" s="43" t="str">
        <f>IF(OR(B31="",C31=""),"",IF(COUNTIFS(재료목록!$A$2:$A$51,B31,재료목록!$B$2:$B$51,C31)&gt;0,"OK","불일치"))</f>
        <v>OK</v>
      </c>
    </row>
    <row r="32" spans="1:9" ht="17" customHeight="1" x14ac:dyDescent="0.35">
      <c r="A32" s="39">
        <v>45948</v>
      </c>
      <c r="B32" s="40" t="s">
        <v>22</v>
      </c>
      <c r="C32" s="40" t="s">
        <v>63</v>
      </c>
      <c r="D32" s="41" t="s">
        <v>75</v>
      </c>
      <c r="E32" s="40">
        <v>1</v>
      </c>
      <c r="F32" s="40">
        <v>48000</v>
      </c>
      <c r="G32" s="42">
        <f t="shared" si="0"/>
        <v>48000</v>
      </c>
      <c r="H32" s="40"/>
      <c r="I32" s="43" t="str">
        <f>IF(OR(B32="",C32=""),"",IF(COUNTIFS(재료목록!$A$2:$A$51,B32,재료목록!$B$2:$B$51,C32)&gt;0,"OK","불일치"))</f>
        <v>OK</v>
      </c>
    </row>
    <row r="33" spans="1:9" ht="17" customHeight="1" x14ac:dyDescent="0.35">
      <c r="A33" s="39">
        <v>45951</v>
      </c>
      <c r="B33" s="40" t="s">
        <v>22</v>
      </c>
      <c r="C33" s="40" t="s">
        <v>48</v>
      </c>
      <c r="D33" s="41" t="s">
        <v>77</v>
      </c>
      <c r="E33" s="40">
        <v>2</v>
      </c>
      <c r="F33" s="40">
        <v>13000</v>
      </c>
      <c r="G33" s="42">
        <f t="shared" si="0"/>
        <v>26000</v>
      </c>
      <c r="H33" s="40"/>
      <c r="I33" s="43" t="str">
        <f>IF(OR(B33="",C33=""),"",IF(COUNTIFS(재료목록!$A$2:$A$51,B33,재료목록!$B$2:$B$51,C33)&gt;0,"OK","불일치"))</f>
        <v>OK</v>
      </c>
    </row>
    <row r="34" spans="1:9" ht="17" customHeight="1" x14ac:dyDescent="0.35">
      <c r="A34" s="39">
        <v>45951</v>
      </c>
      <c r="B34" s="40" t="s">
        <v>22</v>
      </c>
      <c r="C34" s="40" t="s">
        <v>62</v>
      </c>
      <c r="D34" s="41" t="s">
        <v>77</v>
      </c>
      <c r="E34" s="40">
        <v>2</v>
      </c>
      <c r="F34" s="40">
        <v>8500</v>
      </c>
      <c r="G34" s="42">
        <f t="shared" si="0"/>
        <v>17000</v>
      </c>
      <c r="H34" s="40"/>
      <c r="I34" s="43" t="str">
        <f>IF(OR(B34="",C34=""),"",IF(COUNTIFS(재료목록!$A$2:$A$51,B34,재료목록!$B$2:$B$51,C34)&gt;0,"OK","불일치"))</f>
        <v>OK</v>
      </c>
    </row>
    <row r="35" spans="1:9" ht="17" customHeight="1" x14ac:dyDescent="0.35">
      <c r="A35" s="39">
        <v>45951</v>
      </c>
      <c r="B35" s="40" t="s">
        <v>22</v>
      </c>
      <c r="C35" s="40" t="s">
        <v>55</v>
      </c>
      <c r="D35" s="41" t="s">
        <v>77</v>
      </c>
      <c r="E35" s="40">
        <v>2</v>
      </c>
      <c r="F35" s="40">
        <v>8500</v>
      </c>
      <c r="G35" s="42">
        <f t="shared" si="0"/>
        <v>17000</v>
      </c>
      <c r="H35" s="40"/>
      <c r="I35" s="43" t="str">
        <f>IF(OR(B35="",C35=""),"",IF(COUNTIFS(재료목록!$A$2:$A$51,B35,재료목록!$B$2:$B$51,C35)&gt;0,"OK","불일치"))</f>
        <v>OK</v>
      </c>
    </row>
    <row r="36" spans="1:9" ht="17" customHeight="1" x14ac:dyDescent="0.35">
      <c r="A36" s="39">
        <v>45952</v>
      </c>
      <c r="B36" s="40" t="s">
        <v>22</v>
      </c>
      <c r="C36" s="40" t="s">
        <v>48</v>
      </c>
      <c r="D36" s="41" t="s">
        <v>77</v>
      </c>
      <c r="E36" s="40">
        <v>4</v>
      </c>
      <c r="F36" s="40">
        <v>13000</v>
      </c>
      <c r="G36" s="42">
        <f t="shared" si="0"/>
        <v>52000</v>
      </c>
      <c r="H36" s="40"/>
      <c r="I36" s="43" t="str">
        <f>IF(OR(B36="",C36=""),"",IF(COUNTIFS(재료목록!$A$2:$A$51,B36,재료목록!$B$2:$B$51,C36)&gt;0,"OK","불일치"))</f>
        <v>OK</v>
      </c>
    </row>
    <row r="37" spans="1:9" ht="17" customHeight="1" x14ac:dyDescent="0.35">
      <c r="A37" s="39">
        <v>45952</v>
      </c>
      <c r="B37" s="40" t="s">
        <v>22</v>
      </c>
      <c r="C37" s="40" t="s">
        <v>62</v>
      </c>
      <c r="D37" s="41" t="s">
        <v>77</v>
      </c>
      <c r="E37" s="40">
        <v>2</v>
      </c>
      <c r="F37" s="40">
        <v>8500</v>
      </c>
      <c r="G37" s="42">
        <f t="shared" si="0"/>
        <v>17000</v>
      </c>
      <c r="H37" s="40"/>
      <c r="I37" s="43" t="str">
        <f>IF(OR(B37="",C37=""),"",IF(COUNTIFS(재료목록!$A$2:$A$51,B37,재료목록!$B$2:$B$51,C37)&gt;0,"OK","불일치"))</f>
        <v>OK</v>
      </c>
    </row>
    <row r="38" spans="1:9" ht="17" customHeight="1" x14ac:dyDescent="0.35">
      <c r="A38" s="39">
        <v>45952</v>
      </c>
      <c r="B38" s="40" t="s">
        <v>22</v>
      </c>
      <c r="C38" s="40" t="s">
        <v>55</v>
      </c>
      <c r="D38" s="41" t="s">
        <v>77</v>
      </c>
      <c r="E38" s="40">
        <v>2</v>
      </c>
      <c r="F38" s="40">
        <v>8500</v>
      </c>
      <c r="G38" s="42">
        <f t="shared" si="0"/>
        <v>17000</v>
      </c>
      <c r="H38" s="40"/>
      <c r="I38" s="43" t="str">
        <f>IF(OR(B38="",C38=""),"",IF(COUNTIFS(재료목록!$A$2:$A$51,B38,재료목록!$B$2:$B$51,C38)&gt;0,"OK","불일치"))</f>
        <v>OK</v>
      </c>
    </row>
    <row r="39" spans="1:9" ht="17" customHeight="1" x14ac:dyDescent="0.35">
      <c r="A39" s="39">
        <v>45952</v>
      </c>
      <c r="B39" s="40" t="s">
        <v>22</v>
      </c>
      <c r="C39" s="40" t="s">
        <v>33</v>
      </c>
      <c r="D39" s="41" t="s">
        <v>77</v>
      </c>
      <c r="E39" s="40">
        <v>1</v>
      </c>
      <c r="F39" s="40">
        <v>2200</v>
      </c>
      <c r="G39" s="42">
        <f t="shared" si="0"/>
        <v>2200</v>
      </c>
      <c r="H39" s="40"/>
      <c r="I39" s="43" t="str">
        <f>IF(OR(B39="",C39=""),"",IF(COUNTIFS(재료목록!$A$2:$A$51,B39,재료목록!$B$2:$B$51,C39)&gt;0,"OK","불일치"))</f>
        <v>OK</v>
      </c>
    </row>
    <row r="40" spans="1:9" ht="17" customHeight="1" x14ac:dyDescent="0.35">
      <c r="A40" s="39">
        <v>45954</v>
      </c>
      <c r="B40" s="40" t="s">
        <v>11</v>
      </c>
      <c r="C40" s="40" t="s">
        <v>23</v>
      </c>
      <c r="D40" s="41" t="s">
        <v>73</v>
      </c>
      <c r="E40" s="40">
        <v>2</v>
      </c>
      <c r="F40" s="40">
        <v>42500</v>
      </c>
      <c r="G40" s="42">
        <f t="shared" si="0"/>
        <v>85000</v>
      </c>
      <c r="H40" s="40" t="s">
        <v>74</v>
      </c>
      <c r="I40" s="43" t="str">
        <f>IF(OR(B40="",C40=""),"",IF(COUNTIFS(재료목록!$A$2:$A$51,B40,재료목록!$B$2:$B$51,C40)&gt;0,"OK","불일치"))</f>
        <v>OK</v>
      </c>
    </row>
    <row r="41" spans="1:9" ht="17" customHeight="1" x14ac:dyDescent="0.35">
      <c r="A41" s="39">
        <v>45954</v>
      </c>
      <c r="B41" s="40" t="s">
        <v>11</v>
      </c>
      <c r="C41" s="40" t="s">
        <v>20</v>
      </c>
      <c r="D41" s="41" t="s">
        <v>73</v>
      </c>
      <c r="E41" s="40">
        <v>3</v>
      </c>
      <c r="F41" s="40">
        <v>55500</v>
      </c>
      <c r="G41" s="42">
        <f t="shared" si="0"/>
        <v>166500</v>
      </c>
      <c r="H41" s="40" t="s">
        <v>80</v>
      </c>
      <c r="I41" s="43" t="str">
        <f>IF(OR(B41="",C41=""),"",IF(COUNTIFS(재료목록!$A$2:$A$51,B41,재료목록!$B$2:$B$51,C41)&gt;0,"OK","불일치"))</f>
        <v>OK</v>
      </c>
    </row>
    <row r="42" spans="1:9" ht="17" customHeight="1" x14ac:dyDescent="0.35">
      <c r="A42" s="39">
        <v>45954</v>
      </c>
      <c r="B42" s="40" t="s">
        <v>16</v>
      </c>
      <c r="C42" s="40" t="s">
        <v>37</v>
      </c>
      <c r="D42" s="41" t="s">
        <v>81</v>
      </c>
      <c r="E42" s="40">
        <v>2</v>
      </c>
      <c r="F42" s="40">
        <v>46000</v>
      </c>
      <c r="G42" s="42">
        <f t="shared" si="0"/>
        <v>92000</v>
      </c>
      <c r="H42" s="40"/>
      <c r="I42" s="43" t="str">
        <f>IF(OR(B42="",C42=""),"",IF(COUNTIFS(재료목록!$A$2:$A$51,B42,재료목록!$B$2:$B$51,C42)&gt;0,"OK","불일치"))</f>
        <v>OK</v>
      </c>
    </row>
    <row r="43" spans="1:9" ht="17" customHeight="1" x14ac:dyDescent="0.35">
      <c r="A43" s="39">
        <v>45954</v>
      </c>
      <c r="B43" s="40" t="s">
        <v>22</v>
      </c>
      <c r="C43" s="40" t="s">
        <v>48</v>
      </c>
      <c r="D43" s="41" t="s">
        <v>77</v>
      </c>
      <c r="E43" s="40">
        <v>3</v>
      </c>
      <c r="F43" s="40">
        <v>13000</v>
      </c>
      <c r="G43" s="42">
        <f t="shared" si="0"/>
        <v>39000</v>
      </c>
      <c r="H43" s="40"/>
      <c r="I43" s="43" t="str">
        <f>IF(OR(B43="",C43=""),"",IF(COUNTIFS(재료목록!$A$2:$A$51,B43,재료목록!$B$2:$B$51,C43)&gt;0,"OK","불일치"))</f>
        <v>OK</v>
      </c>
    </row>
    <row r="44" spans="1:9" ht="17" customHeight="1" x14ac:dyDescent="0.35">
      <c r="A44" s="39">
        <v>45954</v>
      </c>
      <c r="B44" s="40" t="s">
        <v>22</v>
      </c>
      <c r="C44" s="40" t="s">
        <v>62</v>
      </c>
      <c r="D44" s="41" t="s">
        <v>77</v>
      </c>
      <c r="E44" s="40">
        <v>1</v>
      </c>
      <c r="F44" s="40">
        <v>8500</v>
      </c>
      <c r="G44" s="42">
        <f t="shared" si="0"/>
        <v>8500</v>
      </c>
      <c r="H44" s="40"/>
      <c r="I44" s="43" t="str">
        <f>IF(OR(B44="",C44=""),"",IF(COUNTIFS(재료목록!$A$2:$A$51,B44,재료목록!$B$2:$B$51,C44)&gt;0,"OK","불일치"))</f>
        <v>OK</v>
      </c>
    </row>
    <row r="45" spans="1:9" ht="17" customHeight="1" x14ac:dyDescent="0.35">
      <c r="A45" s="39">
        <v>45954</v>
      </c>
      <c r="B45" s="40" t="s">
        <v>22</v>
      </c>
      <c r="C45" s="40" t="s">
        <v>55</v>
      </c>
      <c r="D45" s="41" t="s">
        <v>77</v>
      </c>
      <c r="E45" s="40">
        <v>2</v>
      </c>
      <c r="F45" s="40">
        <v>8500</v>
      </c>
      <c r="G45" s="42">
        <f t="shared" si="0"/>
        <v>17000</v>
      </c>
      <c r="H45" s="40"/>
      <c r="I45" s="43" t="str">
        <f>IF(OR(B45="",C45=""),"",IF(COUNTIFS(재료목록!$A$2:$A$51,B45,재료목록!$B$2:$B$51,C45)&gt;0,"OK","불일치"))</f>
        <v>OK</v>
      </c>
    </row>
    <row r="46" spans="1:9" ht="17" customHeight="1" x14ac:dyDescent="0.35">
      <c r="A46" s="39">
        <v>45954</v>
      </c>
      <c r="B46" s="40" t="s">
        <v>16</v>
      </c>
      <c r="C46" s="40" t="s">
        <v>47</v>
      </c>
      <c r="D46" s="41" t="s">
        <v>76</v>
      </c>
      <c r="E46" s="40">
        <v>2</v>
      </c>
      <c r="F46" s="40">
        <v>8000</v>
      </c>
      <c r="G46" s="42">
        <f t="shared" si="0"/>
        <v>16000</v>
      </c>
      <c r="H46" s="40"/>
      <c r="I46" s="43" t="str">
        <f>IF(OR(B46="",C46=""),"",IF(COUNTIFS(재료목록!$A$2:$A$51,B46,재료목록!$B$2:$B$51,C46)&gt;0,"OK","불일치"))</f>
        <v>OK</v>
      </c>
    </row>
    <row r="47" spans="1:9" ht="17" customHeight="1" x14ac:dyDescent="0.35">
      <c r="A47" s="39">
        <v>45955</v>
      </c>
      <c r="B47" s="40" t="s">
        <v>22</v>
      </c>
      <c r="C47" s="40" t="s">
        <v>48</v>
      </c>
      <c r="D47" s="41" t="s">
        <v>77</v>
      </c>
      <c r="E47" s="40">
        <v>1</v>
      </c>
      <c r="F47" s="40">
        <v>13000</v>
      </c>
      <c r="G47" s="42">
        <f t="shared" si="0"/>
        <v>13000</v>
      </c>
      <c r="H47" s="40"/>
      <c r="I47" s="43" t="str">
        <f>IF(OR(B47="",C47=""),"",IF(COUNTIFS(재료목록!$A$2:$A$51,B47,재료목록!$B$2:$B$51,C47)&gt;0,"OK","불일치"))</f>
        <v>OK</v>
      </c>
    </row>
    <row r="48" spans="1:9" ht="17" customHeight="1" x14ac:dyDescent="0.35">
      <c r="A48" s="39">
        <v>45955</v>
      </c>
      <c r="B48" s="40" t="s">
        <v>22</v>
      </c>
      <c r="C48" s="40" t="s">
        <v>55</v>
      </c>
      <c r="D48" s="41" t="s">
        <v>77</v>
      </c>
      <c r="E48" s="40">
        <v>1</v>
      </c>
      <c r="F48" s="40">
        <v>8500</v>
      </c>
      <c r="G48" s="42">
        <f t="shared" si="0"/>
        <v>8500</v>
      </c>
      <c r="H48" s="40"/>
      <c r="I48" s="43" t="str">
        <f>IF(OR(B48="",C48=""),"",IF(COUNTIFS(재료목록!$A$2:$A$51,B48,재료목록!$B$2:$B$51,C48)&gt;0,"OK","불일치"))</f>
        <v>OK</v>
      </c>
    </row>
    <row r="49" spans="1:9" ht="17" customHeight="1" x14ac:dyDescent="0.35">
      <c r="A49" s="39">
        <v>45957</v>
      </c>
      <c r="B49" s="40" t="s">
        <v>19</v>
      </c>
      <c r="C49" s="40" t="s">
        <v>58</v>
      </c>
      <c r="D49" s="41" t="s">
        <v>82</v>
      </c>
      <c r="E49" s="40">
        <v>5</v>
      </c>
      <c r="F49" s="40">
        <v>3200</v>
      </c>
      <c r="G49" s="42">
        <f t="shared" si="0"/>
        <v>16000</v>
      </c>
      <c r="H49" s="40" t="s">
        <v>83</v>
      </c>
      <c r="I49" s="43" t="str">
        <f>IF(OR(B49="",C49=""),"",IF(COUNTIFS(재료목록!$A$2:$A$51,B49,재료목록!$B$2:$B$51,C49)&gt;0,"OK","불일치"))</f>
        <v>OK</v>
      </c>
    </row>
    <row r="50" spans="1:9" ht="17" customHeight="1" x14ac:dyDescent="0.35">
      <c r="A50" s="39">
        <v>45957</v>
      </c>
      <c r="B50" s="40" t="s">
        <v>19</v>
      </c>
      <c r="C50" s="40" t="s">
        <v>24</v>
      </c>
      <c r="D50" s="41" t="s">
        <v>82</v>
      </c>
      <c r="E50" s="40">
        <v>3</v>
      </c>
      <c r="F50" s="40">
        <v>2800</v>
      </c>
      <c r="G50" s="42">
        <f t="shared" si="0"/>
        <v>8400</v>
      </c>
      <c r="H50" s="40" t="s">
        <v>84</v>
      </c>
      <c r="I50" s="43" t="str">
        <f>IF(OR(B50="",C50=""),"",IF(COUNTIFS(재료목록!$A$2:$A$51,B50,재료목록!$B$2:$B$51,C50)&gt;0,"OK","불일치"))</f>
        <v>OK</v>
      </c>
    </row>
    <row r="51" spans="1:9" ht="17" customHeight="1" x14ac:dyDescent="0.35">
      <c r="A51" s="39">
        <v>45957</v>
      </c>
      <c r="B51" s="40" t="s">
        <v>22</v>
      </c>
      <c r="C51" s="40" t="s">
        <v>48</v>
      </c>
      <c r="D51" s="41" t="s">
        <v>77</v>
      </c>
      <c r="E51" s="40">
        <v>2</v>
      </c>
      <c r="F51" s="40">
        <v>13000</v>
      </c>
      <c r="G51" s="42">
        <f t="shared" si="0"/>
        <v>26000</v>
      </c>
      <c r="H51" s="40"/>
      <c r="I51" s="43" t="str">
        <f>IF(OR(B51="",C51=""),"",IF(COUNTIFS(재료목록!$A$2:$A$51,B51,재료목록!$B$2:$B$51,C51)&gt;0,"OK","불일치"))</f>
        <v>OK</v>
      </c>
    </row>
    <row r="52" spans="1:9" ht="17" customHeight="1" x14ac:dyDescent="0.35">
      <c r="A52" s="39">
        <v>45957</v>
      </c>
      <c r="B52" s="40" t="s">
        <v>22</v>
      </c>
      <c r="C52" s="40" t="s">
        <v>55</v>
      </c>
      <c r="D52" s="41" t="s">
        <v>77</v>
      </c>
      <c r="E52" s="40">
        <v>1</v>
      </c>
      <c r="F52" s="40">
        <v>8500</v>
      </c>
      <c r="G52" s="42">
        <f t="shared" si="0"/>
        <v>8500</v>
      </c>
      <c r="H52" s="40"/>
      <c r="I52" s="43" t="str">
        <f>IF(OR(B52="",C52=""),"",IF(COUNTIFS(재료목록!$A$2:$A$51,B52,재료목록!$B$2:$B$51,C52)&gt;0,"OK","불일치"))</f>
        <v>OK</v>
      </c>
    </row>
    <row r="53" spans="1:9" ht="17" customHeight="1" x14ac:dyDescent="0.35">
      <c r="A53" s="39">
        <v>45957</v>
      </c>
      <c r="B53" s="40" t="s">
        <v>22</v>
      </c>
      <c r="C53" s="40" t="s">
        <v>33</v>
      </c>
      <c r="D53" s="41" t="s">
        <v>77</v>
      </c>
      <c r="E53" s="40">
        <v>2</v>
      </c>
      <c r="F53" s="40">
        <v>2200</v>
      </c>
      <c r="G53" s="42">
        <f t="shared" si="0"/>
        <v>4400</v>
      </c>
      <c r="H53" s="40"/>
      <c r="I53" s="43" t="str">
        <f>IF(OR(B53="",C53=""),"",IF(COUNTIFS(재료목록!$A$2:$A$51,B53,재료목록!$B$2:$B$51,C53)&gt;0,"OK","불일치"))</f>
        <v>OK</v>
      </c>
    </row>
    <row r="54" spans="1:9" ht="17" customHeight="1" x14ac:dyDescent="0.35">
      <c r="A54" s="39">
        <v>45958</v>
      </c>
      <c r="B54" s="40" t="s">
        <v>11</v>
      </c>
      <c r="C54" s="40" t="s">
        <v>28</v>
      </c>
      <c r="D54" s="41" t="s">
        <v>78</v>
      </c>
      <c r="E54" s="40">
        <v>2</v>
      </c>
      <c r="F54" s="40">
        <v>48000</v>
      </c>
      <c r="G54" s="42">
        <f t="shared" si="0"/>
        <v>96000</v>
      </c>
      <c r="H54" s="40"/>
      <c r="I54" s="43" t="str">
        <f>IF(OR(B54="",C54=""),"",IF(COUNTIFS(재료목록!$A$2:$A$51,B54,재료목록!$B$2:$B$51,C54)&gt;0,"OK","불일치"))</f>
        <v>OK</v>
      </c>
    </row>
    <row r="55" spans="1:9" ht="17" customHeight="1" x14ac:dyDescent="0.35">
      <c r="A55" s="39">
        <v>45958</v>
      </c>
      <c r="B55" s="40" t="s">
        <v>11</v>
      </c>
      <c r="C55" s="44" t="s">
        <v>30</v>
      </c>
      <c r="D55" s="41" t="s">
        <v>78</v>
      </c>
      <c r="E55" s="40">
        <v>1</v>
      </c>
      <c r="F55" s="40">
        <v>-23000</v>
      </c>
      <c r="G55" s="42">
        <f t="shared" si="0"/>
        <v>-23000</v>
      </c>
      <c r="H55" s="40"/>
      <c r="I55" s="43" t="str">
        <f>IF(OR(B55="",C55=""),"",IF(COUNTIFS(재료목록!$A$2:$A$51,B55,재료목록!$B$2:$B$51,C55)&gt;0,"OK","불일치"))</f>
        <v>OK</v>
      </c>
    </row>
    <row r="56" spans="1:9" ht="17" customHeight="1" x14ac:dyDescent="0.35">
      <c r="A56" s="39">
        <v>45958</v>
      </c>
      <c r="B56" s="40" t="s">
        <v>22</v>
      </c>
      <c r="C56" s="40" t="s">
        <v>48</v>
      </c>
      <c r="D56" s="41" t="s">
        <v>77</v>
      </c>
      <c r="E56" s="40">
        <v>2</v>
      </c>
      <c r="F56" s="40">
        <v>13000</v>
      </c>
      <c r="G56" s="42">
        <f t="shared" si="0"/>
        <v>26000</v>
      </c>
      <c r="H56" s="40"/>
      <c r="I56" s="43" t="str">
        <f>IF(OR(B56="",C56=""),"",IF(COUNTIFS(재료목록!$A$2:$A$51,B56,재료목록!$B$2:$B$51,C56)&gt;0,"OK","불일치"))</f>
        <v>OK</v>
      </c>
    </row>
    <row r="57" spans="1:9" ht="17" customHeight="1" x14ac:dyDescent="0.35">
      <c r="A57" s="39">
        <v>45958</v>
      </c>
      <c r="B57" s="40" t="s">
        <v>22</v>
      </c>
      <c r="C57" s="40" t="s">
        <v>62</v>
      </c>
      <c r="D57" s="41" t="s">
        <v>77</v>
      </c>
      <c r="E57" s="40">
        <v>1</v>
      </c>
      <c r="F57" s="40">
        <v>8500</v>
      </c>
      <c r="G57" s="42">
        <f t="shared" si="0"/>
        <v>8500</v>
      </c>
      <c r="H57" s="40"/>
      <c r="I57" s="43" t="str">
        <f>IF(OR(B57="",C57=""),"",IF(COUNTIFS(재료목록!$A$2:$A$51,B57,재료목록!$B$2:$B$51,C57)&gt;0,"OK","불일치"))</f>
        <v>OK</v>
      </c>
    </row>
    <row r="58" spans="1:9" ht="17" customHeight="1" x14ac:dyDescent="0.35">
      <c r="A58" s="39">
        <v>45958</v>
      </c>
      <c r="B58" s="40" t="s">
        <v>22</v>
      </c>
      <c r="C58" s="40" t="s">
        <v>55</v>
      </c>
      <c r="D58" s="41" t="s">
        <v>77</v>
      </c>
      <c r="E58" s="40">
        <v>2</v>
      </c>
      <c r="F58" s="40">
        <v>8500</v>
      </c>
      <c r="G58" s="42">
        <f t="shared" si="0"/>
        <v>17000</v>
      </c>
      <c r="H58" s="40"/>
      <c r="I58" s="43" t="str">
        <f>IF(OR(B58="",C58=""),"",IF(COUNTIFS(재료목록!$A$2:$A$51,B58,재료목록!$B$2:$B$51,C58)&gt;0,"OK","불일치"))</f>
        <v>OK</v>
      </c>
    </row>
    <row r="59" spans="1:9" ht="17" customHeight="1" x14ac:dyDescent="0.35">
      <c r="A59" s="39">
        <v>45961</v>
      </c>
      <c r="B59" s="40" t="s">
        <v>22</v>
      </c>
      <c r="C59" s="40" t="s">
        <v>63</v>
      </c>
      <c r="D59" s="41" t="s">
        <v>75</v>
      </c>
      <c r="E59" s="40">
        <v>1</v>
      </c>
      <c r="F59" s="40">
        <v>48000</v>
      </c>
      <c r="G59" s="42">
        <f t="shared" si="0"/>
        <v>48000</v>
      </c>
      <c r="H59" s="40"/>
      <c r="I59" s="43" t="str">
        <f>IF(OR(B59="",C59=""),"",IF(COUNTIFS(재료목록!$A$2:$A$51,B59,재료목록!$B$2:$B$51,C59)&gt;0,"OK","불일치"))</f>
        <v>OK</v>
      </c>
    </row>
    <row r="60" spans="1:9" ht="17" customHeight="1" x14ac:dyDescent="0.35">
      <c r="A60" s="39">
        <v>45961</v>
      </c>
      <c r="B60" s="40" t="s">
        <v>22</v>
      </c>
      <c r="C60" s="40" t="s">
        <v>48</v>
      </c>
      <c r="D60" s="41" t="s">
        <v>77</v>
      </c>
      <c r="E60" s="40">
        <v>3</v>
      </c>
      <c r="F60" s="40">
        <v>13000</v>
      </c>
      <c r="G60" s="42">
        <f t="shared" si="0"/>
        <v>39000</v>
      </c>
      <c r="H60" s="40"/>
      <c r="I60" s="43" t="str">
        <f>IF(OR(B60="",C60=""),"",IF(COUNTIFS(재료목록!$A$2:$A$51,B60,재료목록!$B$2:$B$51,C60)&gt;0,"OK","불일치"))</f>
        <v>OK</v>
      </c>
    </row>
    <row r="61" spans="1:9" ht="17" customHeight="1" x14ac:dyDescent="0.35">
      <c r="A61" s="39">
        <v>45961</v>
      </c>
      <c r="B61" s="40" t="s">
        <v>22</v>
      </c>
      <c r="C61" s="40" t="s">
        <v>62</v>
      </c>
      <c r="D61" s="41" t="s">
        <v>77</v>
      </c>
      <c r="E61" s="40">
        <v>1</v>
      </c>
      <c r="F61" s="40">
        <v>8500</v>
      </c>
      <c r="G61" s="42">
        <f t="shared" si="0"/>
        <v>8500</v>
      </c>
      <c r="H61" s="40"/>
      <c r="I61" s="43" t="str">
        <f>IF(OR(B61="",C61=""),"",IF(COUNTIFS(재료목록!$A$2:$A$51,B61,재료목록!$B$2:$B$51,C61)&gt;0,"OK","불일치"))</f>
        <v>OK</v>
      </c>
    </row>
    <row r="62" spans="1:9" ht="17" customHeight="1" x14ac:dyDescent="0.35">
      <c r="A62" s="39">
        <v>45961</v>
      </c>
      <c r="B62" s="40" t="s">
        <v>22</v>
      </c>
      <c r="C62" s="40" t="s">
        <v>55</v>
      </c>
      <c r="D62" s="41" t="s">
        <v>77</v>
      </c>
      <c r="E62" s="40">
        <v>1</v>
      </c>
      <c r="F62" s="40">
        <v>8500</v>
      </c>
      <c r="G62" s="42">
        <f t="shared" si="0"/>
        <v>8500</v>
      </c>
      <c r="H62" s="40"/>
      <c r="I62" s="43" t="str">
        <f>IF(OR(B62="",C62=""),"",IF(COUNTIFS(재료목록!$A$2:$A$51,B62,재료목록!$B$2:$B$51,C62)&gt;0,"OK","불일치"))</f>
        <v>OK</v>
      </c>
    </row>
    <row r="63" spans="1:9" ht="17" customHeight="1" x14ac:dyDescent="0.35">
      <c r="A63" s="39">
        <v>45962</v>
      </c>
      <c r="B63" s="40" t="s">
        <v>19</v>
      </c>
      <c r="C63" s="40" t="s">
        <v>49</v>
      </c>
      <c r="D63" s="41" t="s">
        <v>85</v>
      </c>
      <c r="E63" s="40">
        <v>20</v>
      </c>
      <c r="F63" s="40">
        <v>4700</v>
      </c>
      <c r="G63" s="42">
        <f t="shared" si="0"/>
        <v>94000</v>
      </c>
      <c r="H63" s="40" t="s">
        <v>86</v>
      </c>
      <c r="I63" s="43" t="str">
        <f>IF(OR(B63="",C63=""),"",IF(COUNTIFS(재료목록!$A$2:$A$51,B63,재료목록!$B$2:$B$51,C63)&gt;0,"OK","불일치"))</f>
        <v>OK</v>
      </c>
    </row>
    <row r="64" spans="1:9" ht="17" customHeight="1" x14ac:dyDescent="0.35">
      <c r="A64" s="39">
        <v>45962</v>
      </c>
      <c r="B64" s="40" t="s">
        <v>22</v>
      </c>
      <c r="C64" s="40" t="s">
        <v>48</v>
      </c>
      <c r="D64" s="41" t="s">
        <v>77</v>
      </c>
      <c r="E64" s="40">
        <v>2</v>
      </c>
      <c r="F64" s="40">
        <v>13000</v>
      </c>
      <c r="G64" s="42">
        <f t="shared" si="0"/>
        <v>26000</v>
      </c>
      <c r="H64" s="40"/>
      <c r="I64" s="43" t="str">
        <f>IF(OR(B64="",C64=""),"",IF(COUNTIFS(재료목록!$A$2:$A$51,B64,재료목록!$B$2:$B$51,C64)&gt;0,"OK","불일치"))</f>
        <v>OK</v>
      </c>
    </row>
    <row r="65" spans="1:9" ht="17" customHeight="1" x14ac:dyDescent="0.35">
      <c r="A65" s="39">
        <v>45962</v>
      </c>
      <c r="B65" s="40" t="s">
        <v>22</v>
      </c>
      <c r="C65" s="40" t="s">
        <v>62</v>
      </c>
      <c r="D65" s="41" t="s">
        <v>77</v>
      </c>
      <c r="E65" s="40">
        <v>1</v>
      </c>
      <c r="F65" s="40">
        <v>8500</v>
      </c>
      <c r="G65" s="42">
        <f t="shared" si="0"/>
        <v>8500</v>
      </c>
      <c r="H65" s="40"/>
      <c r="I65" s="43" t="str">
        <f>IF(OR(B65="",C65=""),"",IF(COUNTIFS(재료목록!$A$2:$A$51,B65,재료목록!$B$2:$B$51,C65)&gt;0,"OK","불일치"))</f>
        <v>OK</v>
      </c>
    </row>
    <row r="66" spans="1:9" ht="17" customHeight="1" x14ac:dyDescent="0.35">
      <c r="A66" s="39">
        <v>45962</v>
      </c>
      <c r="B66" s="40" t="s">
        <v>22</v>
      </c>
      <c r="C66" s="40" t="s">
        <v>55</v>
      </c>
      <c r="D66" s="41" t="s">
        <v>77</v>
      </c>
      <c r="E66" s="40">
        <v>1</v>
      </c>
      <c r="F66" s="40">
        <v>8500</v>
      </c>
      <c r="G66" s="42">
        <f t="shared" ref="G66:G129" si="1">IF(OR(E66="",F66=""),"",E66*F66)</f>
        <v>8500</v>
      </c>
      <c r="H66" s="40"/>
      <c r="I66" s="43" t="str">
        <f>IF(OR(B66="",C66=""),"",IF(COUNTIFS(재료목록!$A$2:$A$51,B66,재료목록!$B$2:$B$51,C66)&gt;0,"OK","불일치"))</f>
        <v>OK</v>
      </c>
    </row>
    <row r="67" spans="1:9" ht="17" customHeight="1" x14ac:dyDescent="0.35">
      <c r="A67" s="39">
        <v>45964</v>
      </c>
      <c r="B67" s="40" t="s">
        <v>16</v>
      </c>
      <c r="C67" s="40" t="s">
        <v>47</v>
      </c>
      <c r="D67" s="41" t="s">
        <v>76</v>
      </c>
      <c r="E67" s="40">
        <v>2</v>
      </c>
      <c r="F67" s="40">
        <v>8000</v>
      </c>
      <c r="G67" s="42">
        <f t="shared" si="1"/>
        <v>16000</v>
      </c>
      <c r="H67" s="40"/>
      <c r="I67" s="43" t="str">
        <f>IF(OR(B67="",C67=""),"",IF(COUNTIFS(재료목록!$A$2:$A$51,B67,재료목록!$B$2:$B$51,C67)&gt;0,"OK","불일치"))</f>
        <v>OK</v>
      </c>
    </row>
    <row r="68" spans="1:9" ht="17" customHeight="1" x14ac:dyDescent="0.35">
      <c r="A68" s="39">
        <v>45965</v>
      </c>
      <c r="B68" s="40" t="s">
        <v>22</v>
      </c>
      <c r="C68" s="40" t="s">
        <v>48</v>
      </c>
      <c r="D68" s="41" t="s">
        <v>77</v>
      </c>
      <c r="E68" s="40">
        <v>2</v>
      </c>
      <c r="F68" s="40">
        <v>13000</v>
      </c>
      <c r="G68" s="42">
        <f t="shared" si="1"/>
        <v>26000</v>
      </c>
      <c r="H68" s="40"/>
      <c r="I68" s="43" t="str">
        <f>IF(OR(B68="",C68=""),"",IF(COUNTIFS(재료목록!$A$2:$A$51,B68,재료목록!$B$2:$B$51,C68)&gt;0,"OK","불일치"))</f>
        <v>OK</v>
      </c>
    </row>
    <row r="69" spans="1:9" ht="17" customHeight="1" x14ac:dyDescent="0.35">
      <c r="A69" s="39">
        <v>45965</v>
      </c>
      <c r="B69" s="40" t="s">
        <v>22</v>
      </c>
      <c r="C69" s="40" t="s">
        <v>54</v>
      </c>
      <c r="D69" s="41" t="s">
        <v>77</v>
      </c>
      <c r="E69" s="40">
        <v>5</v>
      </c>
      <c r="F69" s="40">
        <v>2000</v>
      </c>
      <c r="G69" s="42">
        <f t="shared" si="1"/>
        <v>10000</v>
      </c>
      <c r="H69" s="40"/>
      <c r="I69" s="43" t="str">
        <f>IF(OR(B69="",C69=""),"",IF(COUNTIFS(재료목록!$A$2:$A$51,B69,재료목록!$B$2:$B$51,C69)&gt;0,"OK","불일치"))</f>
        <v>OK</v>
      </c>
    </row>
    <row r="70" spans="1:9" ht="17" customHeight="1" x14ac:dyDescent="0.35">
      <c r="A70" s="39">
        <v>45966</v>
      </c>
      <c r="B70" s="40" t="s">
        <v>11</v>
      </c>
      <c r="C70" s="40" t="s">
        <v>36</v>
      </c>
      <c r="D70" s="41" t="s">
        <v>87</v>
      </c>
      <c r="E70" s="40">
        <v>1</v>
      </c>
      <c r="F70" s="40">
        <v>25800</v>
      </c>
      <c r="G70" s="42">
        <f t="shared" si="1"/>
        <v>25800</v>
      </c>
      <c r="H70" s="40" t="s">
        <v>88</v>
      </c>
      <c r="I70" s="43" t="str">
        <f>IF(OR(B70="",C70=""),"",IF(COUNTIFS(재료목록!$A$2:$A$51,B70,재료목록!$B$2:$B$51,C70)&gt;0,"OK","불일치"))</f>
        <v>OK</v>
      </c>
    </row>
    <row r="71" spans="1:9" ht="17" customHeight="1" x14ac:dyDescent="0.35">
      <c r="A71" s="39">
        <v>45966</v>
      </c>
      <c r="B71" s="40" t="s">
        <v>22</v>
      </c>
      <c r="C71" s="40" t="s">
        <v>48</v>
      </c>
      <c r="D71" s="41" t="s">
        <v>77</v>
      </c>
      <c r="E71" s="40">
        <v>2</v>
      </c>
      <c r="F71" s="40">
        <v>13000</v>
      </c>
      <c r="G71" s="42">
        <f t="shared" si="1"/>
        <v>26000</v>
      </c>
      <c r="H71" s="40"/>
      <c r="I71" s="43" t="str">
        <f>IF(OR(B71="",C71=""),"",IF(COUNTIFS(재료목록!$A$2:$A$51,B71,재료목록!$B$2:$B$51,C71)&gt;0,"OK","불일치"))</f>
        <v>OK</v>
      </c>
    </row>
    <row r="72" spans="1:9" ht="17" customHeight="1" x14ac:dyDescent="0.35">
      <c r="A72" s="39">
        <v>45966</v>
      </c>
      <c r="B72" s="40" t="s">
        <v>22</v>
      </c>
      <c r="C72" s="40" t="s">
        <v>62</v>
      </c>
      <c r="D72" s="41" t="s">
        <v>77</v>
      </c>
      <c r="E72" s="40">
        <v>1</v>
      </c>
      <c r="F72" s="40">
        <v>8500</v>
      </c>
      <c r="G72" s="42">
        <f t="shared" si="1"/>
        <v>8500</v>
      </c>
      <c r="H72" s="40"/>
      <c r="I72" s="43" t="str">
        <f>IF(OR(B72="",C72=""),"",IF(COUNTIFS(재료목록!$A$2:$A$51,B72,재료목록!$B$2:$B$51,C72)&gt;0,"OK","불일치"))</f>
        <v>OK</v>
      </c>
    </row>
    <row r="73" spans="1:9" ht="17" customHeight="1" x14ac:dyDescent="0.35">
      <c r="A73" s="39">
        <v>45966</v>
      </c>
      <c r="B73" s="40" t="s">
        <v>22</v>
      </c>
      <c r="C73" s="40" t="s">
        <v>55</v>
      </c>
      <c r="D73" s="41" t="s">
        <v>77</v>
      </c>
      <c r="E73" s="40">
        <v>2</v>
      </c>
      <c r="F73" s="40">
        <v>8500</v>
      </c>
      <c r="G73" s="42">
        <f t="shared" si="1"/>
        <v>17000</v>
      </c>
      <c r="H73" s="40"/>
      <c r="I73" s="43" t="str">
        <f>IF(OR(B73="",C73=""),"",IF(COUNTIFS(재료목록!$A$2:$A$51,B73,재료목록!$B$2:$B$51,C73)&gt;0,"OK","불일치"))</f>
        <v>OK</v>
      </c>
    </row>
    <row r="74" spans="1:9" ht="17" customHeight="1" x14ac:dyDescent="0.35">
      <c r="A74" s="39">
        <v>45967</v>
      </c>
      <c r="B74" s="40" t="s">
        <v>22</v>
      </c>
      <c r="C74" s="40" t="s">
        <v>48</v>
      </c>
      <c r="D74" s="41" t="s">
        <v>77</v>
      </c>
      <c r="E74" s="40">
        <v>2</v>
      </c>
      <c r="F74" s="40">
        <v>13000</v>
      </c>
      <c r="G74" s="42">
        <f t="shared" si="1"/>
        <v>26000</v>
      </c>
      <c r="H74" s="40"/>
      <c r="I74" s="43" t="str">
        <f>IF(OR(B74="",C74=""),"",IF(COUNTIFS(재료목록!$A$2:$A$51,B74,재료목록!$B$2:$B$51,C74)&gt;0,"OK","불일치"))</f>
        <v>OK</v>
      </c>
    </row>
    <row r="75" spans="1:9" ht="17" customHeight="1" x14ac:dyDescent="0.35">
      <c r="A75" s="39">
        <v>45967</v>
      </c>
      <c r="B75" s="40" t="s">
        <v>22</v>
      </c>
      <c r="C75" s="40" t="s">
        <v>62</v>
      </c>
      <c r="D75" s="41" t="s">
        <v>77</v>
      </c>
      <c r="E75" s="40">
        <v>1</v>
      </c>
      <c r="F75" s="40">
        <v>8500</v>
      </c>
      <c r="G75" s="42">
        <f t="shared" si="1"/>
        <v>8500</v>
      </c>
      <c r="H75" s="40"/>
      <c r="I75" s="43" t="str">
        <f>IF(OR(B75="",C75=""),"",IF(COUNTIFS(재료목록!$A$2:$A$51,B75,재료목록!$B$2:$B$51,C75)&gt;0,"OK","불일치"))</f>
        <v>OK</v>
      </c>
    </row>
    <row r="76" spans="1:9" ht="17" customHeight="1" x14ac:dyDescent="0.35">
      <c r="A76" s="39">
        <v>45967</v>
      </c>
      <c r="B76" s="40" t="s">
        <v>22</v>
      </c>
      <c r="C76" s="40" t="s">
        <v>55</v>
      </c>
      <c r="D76" s="41" t="s">
        <v>77</v>
      </c>
      <c r="E76" s="40">
        <v>1</v>
      </c>
      <c r="F76" s="40">
        <v>8500</v>
      </c>
      <c r="G76" s="42">
        <f t="shared" si="1"/>
        <v>8500</v>
      </c>
      <c r="H76" s="40"/>
      <c r="I76" s="43" t="str">
        <f>IF(OR(B76="",C76=""),"",IF(COUNTIFS(재료목록!$A$2:$A$51,B76,재료목록!$B$2:$B$51,C76)&gt;0,"OK","불일치"))</f>
        <v>OK</v>
      </c>
    </row>
    <row r="77" spans="1:9" ht="17" customHeight="1" x14ac:dyDescent="0.35">
      <c r="A77" s="39">
        <v>45968</v>
      </c>
      <c r="B77" s="40" t="s">
        <v>19</v>
      </c>
      <c r="C77" s="40" t="s">
        <v>58</v>
      </c>
      <c r="D77" s="41" t="s">
        <v>82</v>
      </c>
      <c r="E77" s="40">
        <v>5</v>
      </c>
      <c r="F77" s="40">
        <v>3200</v>
      </c>
      <c r="G77" s="42">
        <f t="shared" si="1"/>
        <v>16000</v>
      </c>
      <c r="H77" s="40" t="s">
        <v>83</v>
      </c>
      <c r="I77" s="43" t="str">
        <f>IF(OR(B77="",C77=""),"",IF(COUNTIFS(재료목록!$A$2:$A$51,B77,재료목록!$B$2:$B$51,C77)&gt;0,"OK","불일치"))</f>
        <v>OK</v>
      </c>
    </row>
    <row r="78" spans="1:9" ht="17" customHeight="1" x14ac:dyDescent="0.35">
      <c r="A78" s="39">
        <v>45968</v>
      </c>
      <c r="B78" s="40" t="s">
        <v>19</v>
      </c>
      <c r="C78" s="40" t="s">
        <v>24</v>
      </c>
      <c r="D78" s="41" t="s">
        <v>82</v>
      </c>
      <c r="E78" s="40">
        <v>20</v>
      </c>
      <c r="F78" s="40">
        <v>2800</v>
      </c>
      <c r="G78" s="42">
        <f t="shared" si="1"/>
        <v>56000</v>
      </c>
      <c r="H78" s="40" t="s">
        <v>89</v>
      </c>
      <c r="I78" s="43" t="str">
        <f>IF(OR(B78="",C78=""),"",IF(COUNTIFS(재료목록!$A$2:$A$51,B78,재료목록!$B$2:$B$51,C78)&gt;0,"OK","불일치"))</f>
        <v>OK</v>
      </c>
    </row>
    <row r="79" spans="1:9" ht="17" customHeight="1" x14ac:dyDescent="0.35">
      <c r="A79" s="39">
        <v>45968</v>
      </c>
      <c r="B79" s="40" t="s">
        <v>22</v>
      </c>
      <c r="C79" s="40" t="s">
        <v>48</v>
      </c>
      <c r="D79" s="41" t="s">
        <v>77</v>
      </c>
      <c r="E79" s="40">
        <v>3</v>
      </c>
      <c r="F79" s="40">
        <v>13000</v>
      </c>
      <c r="G79" s="42">
        <f t="shared" si="1"/>
        <v>39000</v>
      </c>
      <c r="H79" s="40"/>
      <c r="I79" s="43" t="str">
        <f>IF(OR(B79="",C79=""),"",IF(COUNTIFS(재료목록!$A$2:$A$51,B79,재료목록!$B$2:$B$51,C79)&gt;0,"OK","불일치"))</f>
        <v>OK</v>
      </c>
    </row>
    <row r="80" spans="1:9" ht="17" customHeight="1" x14ac:dyDescent="0.35">
      <c r="A80" s="39">
        <v>45968</v>
      </c>
      <c r="B80" s="40" t="s">
        <v>22</v>
      </c>
      <c r="C80" s="40" t="s">
        <v>62</v>
      </c>
      <c r="D80" s="41" t="s">
        <v>77</v>
      </c>
      <c r="E80" s="40">
        <v>1</v>
      </c>
      <c r="F80" s="40">
        <v>8500</v>
      </c>
      <c r="G80" s="42">
        <f t="shared" si="1"/>
        <v>8500</v>
      </c>
      <c r="H80" s="40"/>
      <c r="I80" s="43" t="str">
        <f>IF(OR(B80="",C80=""),"",IF(COUNTIFS(재료목록!$A$2:$A$51,B80,재료목록!$B$2:$B$51,C80)&gt;0,"OK","불일치"))</f>
        <v>OK</v>
      </c>
    </row>
    <row r="81" spans="1:9" ht="17" customHeight="1" x14ac:dyDescent="0.35">
      <c r="A81" s="39">
        <v>45968</v>
      </c>
      <c r="B81" s="40" t="s">
        <v>22</v>
      </c>
      <c r="C81" s="40" t="s">
        <v>55</v>
      </c>
      <c r="D81" s="41" t="s">
        <v>77</v>
      </c>
      <c r="E81" s="40">
        <v>2</v>
      </c>
      <c r="F81" s="40">
        <v>8500</v>
      </c>
      <c r="G81" s="42">
        <f t="shared" si="1"/>
        <v>17000</v>
      </c>
      <c r="H81" s="40"/>
      <c r="I81" s="43" t="str">
        <f>IF(OR(B81="",C81=""),"",IF(COUNTIFS(재료목록!$A$2:$A$51,B81,재료목록!$B$2:$B$51,C81)&gt;0,"OK","불일치"))</f>
        <v>OK</v>
      </c>
    </row>
    <row r="82" spans="1:9" ht="17" customHeight="1" x14ac:dyDescent="0.35">
      <c r="A82" s="39">
        <v>45969</v>
      </c>
      <c r="B82" s="40" t="s">
        <v>22</v>
      </c>
      <c r="C82" s="40" t="s">
        <v>48</v>
      </c>
      <c r="D82" s="41" t="s">
        <v>77</v>
      </c>
      <c r="E82" s="40">
        <v>2</v>
      </c>
      <c r="F82" s="40">
        <v>13000</v>
      </c>
      <c r="G82" s="42">
        <f t="shared" si="1"/>
        <v>26000</v>
      </c>
      <c r="H82" s="40"/>
      <c r="I82" s="43" t="str">
        <f>IF(OR(B82="",C82=""),"",IF(COUNTIFS(재료목록!$A$2:$A$51,B82,재료목록!$B$2:$B$51,C82)&gt;0,"OK","불일치"))</f>
        <v>OK</v>
      </c>
    </row>
    <row r="83" spans="1:9" ht="17" customHeight="1" x14ac:dyDescent="0.35">
      <c r="A83" s="39">
        <v>45969</v>
      </c>
      <c r="B83" s="40" t="s">
        <v>22</v>
      </c>
      <c r="C83" s="40" t="s">
        <v>55</v>
      </c>
      <c r="D83" s="41" t="s">
        <v>77</v>
      </c>
      <c r="E83" s="40">
        <v>2</v>
      </c>
      <c r="F83" s="40">
        <v>8500</v>
      </c>
      <c r="G83" s="42">
        <f t="shared" si="1"/>
        <v>17000</v>
      </c>
      <c r="H83" s="40"/>
      <c r="I83" s="43" t="str">
        <f>IF(OR(B83="",C83=""),"",IF(COUNTIFS(재료목록!$A$2:$A$51,B83,재료목록!$B$2:$B$51,C83)&gt;0,"OK","불일치"))</f>
        <v>OK</v>
      </c>
    </row>
    <row r="84" spans="1:9" ht="17" customHeight="1" x14ac:dyDescent="0.35">
      <c r="A84" s="39">
        <v>45971</v>
      </c>
      <c r="B84" s="40" t="s">
        <v>22</v>
      </c>
      <c r="C84" s="40" t="s">
        <v>48</v>
      </c>
      <c r="D84" s="41" t="s">
        <v>77</v>
      </c>
      <c r="E84" s="40">
        <v>2</v>
      </c>
      <c r="F84" s="40">
        <v>13000</v>
      </c>
      <c r="G84" s="42">
        <f t="shared" si="1"/>
        <v>26000</v>
      </c>
      <c r="H84" s="40"/>
      <c r="I84" s="43" t="str">
        <f>IF(OR(B84="",C84=""),"",IF(COUNTIFS(재료목록!$A$2:$A$51,B84,재료목록!$B$2:$B$51,C84)&gt;0,"OK","불일치"))</f>
        <v>OK</v>
      </c>
    </row>
    <row r="85" spans="1:9" ht="17" customHeight="1" x14ac:dyDescent="0.35">
      <c r="A85" s="39">
        <v>45971</v>
      </c>
      <c r="B85" s="40" t="s">
        <v>22</v>
      </c>
      <c r="C85" s="40" t="s">
        <v>55</v>
      </c>
      <c r="D85" s="41" t="s">
        <v>77</v>
      </c>
      <c r="E85" s="40">
        <v>1</v>
      </c>
      <c r="F85" s="40">
        <v>8500</v>
      </c>
      <c r="G85" s="42">
        <f t="shared" si="1"/>
        <v>8500</v>
      </c>
      <c r="H85" s="40"/>
      <c r="I85" s="43" t="str">
        <f>IF(OR(B85="",C85=""),"",IF(COUNTIFS(재료목록!$A$2:$A$51,B85,재료목록!$B$2:$B$51,C85)&gt;0,"OK","불일치"))</f>
        <v>OK</v>
      </c>
    </row>
    <row r="86" spans="1:9" ht="17" customHeight="1" x14ac:dyDescent="0.35">
      <c r="A86" s="39">
        <v>45971</v>
      </c>
      <c r="B86" s="40" t="s">
        <v>16</v>
      </c>
      <c r="C86" s="40" t="s">
        <v>47</v>
      </c>
      <c r="D86" s="41" t="s">
        <v>76</v>
      </c>
      <c r="E86" s="40">
        <v>2</v>
      </c>
      <c r="F86" s="40">
        <v>8000</v>
      </c>
      <c r="G86" s="42">
        <f t="shared" si="1"/>
        <v>16000</v>
      </c>
      <c r="H86" s="40"/>
      <c r="I86" s="43" t="str">
        <f>IF(OR(B86="",C86=""),"",IF(COUNTIFS(재료목록!$A$2:$A$51,B86,재료목록!$B$2:$B$51,C86)&gt;0,"OK","불일치"))</f>
        <v>OK</v>
      </c>
    </row>
    <row r="87" spans="1:9" ht="17" customHeight="1" x14ac:dyDescent="0.35">
      <c r="A87" s="39">
        <v>45972</v>
      </c>
      <c r="B87" s="40" t="s">
        <v>22</v>
      </c>
      <c r="C87" s="40" t="s">
        <v>48</v>
      </c>
      <c r="D87" s="41" t="s">
        <v>77</v>
      </c>
      <c r="E87" s="40">
        <v>3</v>
      </c>
      <c r="F87" s="40">
        <v>13000</v>
      </c>
      <c r="G87" s="42">
        <f t="shared" si="1"/>
        <v>39000</v>
      </c>
      <c r="H87" s="40"/>
      <c r="I87" s="43" t="str">
        <f>IF(OR(B87="",C87=""),"",IF(COUNTIFS(재료목록!$A$2:$A$51,B87,재료목록!$B$2:$B$51,C87)&gt;0,"OK","불일치"))</f>
        <v>OK</v>
      </c>
    </row>
    <row r="88" spans="1:9" ht="17" customHeight="1" x14ac:dyDescent="0.35">
      <c r="A88" s="39">
        <v>45972</v>
      </c>
      <c r="B88" s="40" t="s">
        <v>22</v>
      </c>
      <c r="C88" s="40" t="s">
        <v>62</v>
      </c>
      <c r="D88" s="41" t="s">
        <v>77</v>
      </c>
      <c r="E88" s="40">
        <v>2</v>
      </c>
      <c r="F88" s="40">
        <v>8500</v>
      </c>
      <c r="G88" s="42">
        <f t="shared" si="1"/>
        <v>17000</v>
      </c>
      <c r="H88" s="40"/>
      <c r="I88" s="43" t="str">
        <f>IF(OR(B88="",C88=""),"",IF(COUNTIFS(재료목록!$A$2:$A$51,B88,재료목록!$B$2:$B$51,C88)&gt;0,"OK","불일치"))</f>
        <v>OK</v>
      </c>
    </row>
    <row r="89" spans="1:9" ht="17" customHeight="1" x14ac:dyDescent="0.35">
      <c r="A89" s="39">
        <v>45972</v>
      </c>
      <c r="B89" s="40" t="s">
        <v>22</v>
      </c>
      <c r="C89" s="40" t="s">
        <v>55</v>
      </c>
      <c r="D89" s="41" t="s">
        <v>77</v>
      </c>
      <c r="E89" s="40">
        <v>3</v>
      </c>
      <c r="F89" s="40">
        <v>8500</v>
      </c>
      <c r="G89" s="42">
        <f t="shared" si="1"/>
        <v>25500</v>
      </c>
      <c r="H89" s="40"/>
      <c r="I89" s="43" t="str">
        <f>IF(OR(B89="",C89=""),"",IF(COUNTIFS(재료목록!$A$2:$A$51,B89,재료목록!$B$2:$B$51,C89)&gt;0,"OK","불일치"))</f>
        <v>OK</v>
      </c>
    </row>
    <row r="90" spans="1:9" ht="17" customHeight="1" x14ac:dyDescent="0.35">
      <c r="A90" s="39">
        <v>45973</v>
      </c>
      <c r="B90" s="40" t="s">
        <v>22</v>
      </c>
      <c r="C90" s="40" t="s">
        <v>33</v>
      </c>
      <c r="D90" s="41" t="s">
        <v>77</v>
      </c>
      <c r="E90" s="40">
        <v>2</v>
      </c>
      <c r="F90" s="40">
        <v>2200</v>
      </c>
      <c r="G90" s="42">
        <f t="shared" si="1"/>
        <v>4400</v>
      </c>
      <c r="H90" s="40"/>
      <c r="I90" s="43" t="str">
        <f>IF(OR(B90="",C90=""),"",IF(COUNTIFS(재료목록!$A$2:$A$51,B90,재료목록!$B$2:$B$51,C90)&gt;0,"OK","불일치"))</f>
        <v>OK</v>
      </c>
    </row>
    <row r="91" spans="1:9" ht="17" customHeight="1" x14ac:dyDescent="0.35">
      <c r="A91" s="39">
        <v>45973</v>
      </c>
      <c r="B91" s="40" t="s">
        <v>22</v>
      </c>
      <c r="C91" s="40" t="s">
        <v>54</v>
      </c>
      <c r="D91" s="41" t="s">
        <v>77</v>
      </c>
      <c r="E91" s="40">
        <v>2</v>
      </c>
      <c r="F91" s="40">
        <v>2000</v>
      </c>
      <c r="G91" s="42">
        <f t="shared" si="1"/>
        <v>4000</v>
      </c>
      <c r="H91" s="40"/>
      <c r="I91" s="43" t="str">
        <f>IF(OR(B91="",C91=""),"",IF(COUNTIFS(재료목록!$A$2:$A$51,B91,재료목록!$B$2:$B$51,C91)&gt;0,"OK","불일치"))</f>
        <v>OK</v>
      </c>
    </row>
    <row r="92" spans="1:9" ht="17" customHeight="1" x14ac:dyDescent="0.35">
      <c r="A92" s="39">
        <v>45974</v>
      </c>
      <c r="B92" s="40" t="s">
        <v>11</v>
      </c>
      <c r="C92" s="40" t="s">
        <v>20</v>
      </c>
      <c r="D92" s="41" t="s">
        <v>73</v>
      </c>
      <c r="E92" s="40">
        <v>3</v>
      </c>
      <c r="F92" s="40">
        <v>55500</v>
      </c>
      <c r="G92" s="42">
        <f t="shared" si="1"/>
        <v>166500</v>
      </c>
      <c r="H92" s="40" t="s">
        <v>80</v>
      </c>
      <c r="I92" s="43" t="str">
        <f>IF(OR(B92="",C92=""),"",IF(COUNTIFS(재료목록!$A$2:$A$51,B92,재료목록!$B$2:$B$51,C92)&gt;0,"OK","불일치"))</f>
        <v>OK</v>
      </c>
    </row>
    <row r="93" spans="1:9" ht="17" customHeight="1" x14ac:dyDescent="0.35">
      <c r="A93" s="39">
        <v>45974</v>
      </c>
      <c r="B93" s="40" t="s">
        <v>22</v>
      </c>
      <c r="C93" s="40" t="s">
        <v>63</v>
      </c>
      <c r="D93" s="41" t="s">
        <v>75</v>
      </c>
      <c r="E93" s="40">
        <v>1</v>
      </c>
      <c r="F93" s="40">
        <v>48000</v>
      </c>
      <c r="G93" s="42">
        <f t="shared" si="1"/>
        <v>48000</v>
      </c>
      <c r="H93" s="40"/>
      <c r="I93" s="43" t="str">
        <f>IF(OR(B93="",C93=""),"",IF(COUNTIFS(재료목록!$A$2:$A$51,B93,재료목록!$B$2:$B$51,C93)&gt;0,"OK","불일치"))</f>
        <v>OK</v>
      </c>
    </row>
    <row r="94" spans="1:9" ht="17" customHeight="1" x14ac:dyDescent="0.35">
      <c r="A94" s="39">
        <v>45974</v>
      </c>
      <c r="B94" s="40" t="s">
        <v>22</v>
      </c>
      <c r="C94" s="40" t="s">
        <v>48</v>
      </c>
      <c r="D94" s="41" t="s">
        <v>77</v>
      </c>
      <c r="E94" s="40">
        <v>3</v>
      </c>
      <c r="F94" s="40">
        <v>13000</v>
      </c>
      <c r="G94" s="42">
        <f t="shared" si="1"/>
        <v>39000</v>
      </c>
      <c r="H94" s="40"/>
      <c r="I94" s="43" t="str">
        <f>IF(OR(B94="",C94=""),"",IF(COUNTIFS(재료목록!$A$2:$A$51,B94,재료목록!$B$2:$B$51,C94)&gt;0,"OK","불일치"))</f>
        <v>OK</v>
      </c>
    </row>
    <row r="95" spans="1:9" ht="17" customHeight="1" x14ac:dyDescent="0.35">
      <c r="A95" s="39">
        <v>45974</v>
      </c>
      <c r="B95" s="40" t="s">
        <v>22</v>
      </c>
      <c r="C95" s="40" t="s">
        <v>62</v>
      </c>
      <c r="D95" s="41" t="s">
        <v>77</v>
      </c>
      <c r="E95" s="40">
        <v>2</v>
      </c>
      <c r="F95" s="40">
        <v>8500</v>
      </c>
      <c r="G95" s="42">
        <f t="shared" si="1"/>
        <v>17000</v>
      </c>
      <c r="H95" s="40"/>
      <c r="I95" s="43" t="str">
        <f>IF(OR(B95="",C95=""),"",IF(COUNTIFS(재료목록!$A$2:$A$51,B95,재료목록!$B$2:$B$51,C95)&gt;0,"OK","불일치"))</f>
        <v>OK</v>
      </c>
    </row>
    <row r="96" spans="1:9" ht="17" customHeight="1" x14ac:dyDescent="0.35">
      <c r="A96" s="39">
        <v>45974</v>
      </c>
      <c r="B96" s="40" t="s">
        <v>22</v>
      </c>
      <c r="C96" s="40" t="s">
        <v>55</v>
      </c>
      <c r="D96" s="41" t="s">
        <v>77</v>
      </c>
      <c r="E96" s="40">
        <v>3</v>
      </c>
      <c r="F96" s="40">
        <v>8500</v>
      </c>
      <c r="G96" s="42">
        <f t="shared" si="1"/>
        <v>25500</v>
      </c>
      <c r="H96" s="40"/>
      <c r="I96" s="43" t="str">
        <f>IF(OR(B96="",C96=""),"",IF(COUNTIFS(재료목록!$A$2:$A$51,B96,재료목록!$B$2:$B$51,C96)&gt;0,"OK","불일치"))</f>
        <v>OK</v>
      </c>
    </row>
    <row r="97" spans="1:9" ht="17" customHeight="1" x14ac:dyDescent="0.35">
      <c r="A97" s="39">
        <v>45975</v>
      </c>
      <c r="B97" s="40" t="s">
        <v>22</v>
      </c>
      <c r="C97" s="40" t="s">
        <v>48</v>
      </c>
      <c r="D97" s="41" t="s">
        <v>77</v>
      </c>
      <c r="E97" s="40">
        <v>2</v>
      </c>
      <c r="F97" s="40">
        <v>13000</v>
      </c>
      <c r="G97" s="42">
        <f t="shared" si="1"/>
        <v>26000</v>
      </c>
      <c r="H97" s="40"/>
      <c r="I97" s="43" t="str">
        <f>IF(OR(B97="",C97=""),"",IF(COUNTIFS(재료목록!$A$2:$A$51,B97,재료목록!$B$2:$B$51,C97)&gt;0,"OK","불일치"))</f>
        <v>OK</v>
      </c>
    </row>
    <row r="98" spans="1:9" ht="17" customHeight="1" x14ac:dyDescent="0.35">
      <c r="A98" s="39">
        <v>45975</v>
      </c>
      <c r="B98" s="40" t="s">
        <v>22</v>
      </c>
      <c r="C98" s="40" t="s">
        <v>62</v>
      </c>
      <c r="D98" s="41" t="s">
        <v>77</v>
      </c>
      <c r="E98" s="40">
        <v>1</v>
      </c>
      <c r="F98" s="40">
        <v>8500</v>
      </c>
      <c r="G98" s="42">
        <f t="shared" si="1"/>
        <v>8500</v>
      </c>
      <c r="H98" s="40"/>
      <c r="I98" s="43" t="str">
        <f>IF(OR(B98="",C98=""),"",IF(COUNTIFS(재료목록!$A$2:$A$51,B98,재료목록!$B$2:$B$51,C98)&gt;0,"OK","불일치"))</f>
        <v>OK</v>
      </c>
    </row>
    <row r="99" spans="1:9" ht="17" customHeight="1" x14ac:dyDescent="0.35">
      <c r="A99" s="39">
        <v>45975</v>
      </c>
      <c r="B99" s="40" t="s">
        <v>22</v>
      </c>
      <c r="C99" s="40" t="s">
        <v>55</v>
      </c>
      <c r="D99" s="41" t="s">
        <v>77</v>
      </c>
      <c r="E99" s="40">
        <v>1</v>
      </c>
      <c r="F99" s="40">
        <v>8500</v>
      </c>
      <c r="G99" s="42">
        <f t="shared" si="1"/>
        <v>8500</v>
      </c>
      <c r="H99" s="40"/>
      <c r="I99" s="43" t="str">
        <f>IF(OR(B99="",C99=""),"",IF(COUNTIFS(재료목록!$A$2:$A$51,B99,재료목록!$B$2:$B$51,C99)&gt;0,"OK","불일치"))</f>
        <v>OK</v>
      </c>
    </row>
    <row r="100" spans="1:9" ht="17" customHeight="1" x14ac:dyDescent="0.35">
      <c r="A100" s="39">
        <v>45976</v>
      </c>
      <c r="B100" s="40" t="s">
        <v>11</v>
      </c>
      <c r="C100" s="40" t="s">
        <v>17</v>
      </c>
      <c r="D100" s="41" t="s">
        <v>79</v>
      </c>
      <c r="E100" s="40">
        <v>10</v>
      </c>
      <c r="F100" s="40">
        <v>6820</v>
      </c>
      <c r="G100" s="42">
        <f t="shared" si="1"/>
        <v>68200</v>
      </c>
      <c r="H100" s="40"/>
      <c r="I100" s="43" t="str">
        <f>IF(OR(B100="",C100=""),"",IF(COUNTIFS(재료목록!$A$2:$A$51,B100,재료목록!$B$2:$B$51,C100)&gt;0,"OK","불일치"))</f>
        <v>OK</v>
      </c>
    </row>
    <row r="101" spans="1:9" ht="17" customHeight="1" x14ac:dyDescent="0.35">
      <c r="A101" s="39">
        <v>45976</v>
      </c>
      <c r="B101" s="40" t="s">
        <v>11</v>
      </c>
      <c r="C101" s="40" t="s">
        <v>42</v>
      </c>
      <c r="D101" s="41" t="s">
        <v>79</v>
      </c>
      <c r="E101" s="40">
        <v>1</v>
      </c>
      <c r="F101" s="40">
        <v>9460</v>
      </c>
      <c r="G101" s="42">
        <f t="shared" si="1"/>
        <v>9460</v>
      </c>
      <c r="H101" s="40"/>
      <c r="I101" s="43" t="str">
        <f>IF(OR(B101="",C101=""),"",IF(COUNTIFS(재료목록!$A$2:$A$51,B101,재료목록!$B$2:$B$51,C101)&gt;0,"OK","불일치"))</f>
        <v>OK</v>
      </c>
    </row>
    <row r="102" spans="1:9" ht="17" customHeight="1" x14ac:dyDescent="0.35">
      <c r="A102" s="39">
        <v>45976</v>
      </c>
      <c r="B102" s="40" t="s">
        <v>16</v>
      </c>
      <c r="C102" s="40" t="s">
        <v>47</v>
      </c>
      <c r="D102" s="41" t="s">
        <v>76</v>
      </c>
      <c r="E102" s="40">
        <v>2</v>
      </c>
      <c r="F102" s="40">
        <v>8000</v>
      </c>
      <c r="G102" s="42">
        <f t="shared" si="1"/>
        <v>16000</v>
      </c>
      <c r="H102" s="40"/>
      <c r="I102" s="43" t="str">
        <f>IF(OR(B102="",C102=""),"",IF(COUNTIFS(재료목록!$A$2:$A$51,B102,재료목록!$B$2:$B$51,C102)&gt;0,"OK","불일치"))</f>
        <v>OK</v>
      </c>
    </row>
    <row r="103" spans="1:9" ht="17" customHeight="1" x14ac:dyDescent="0.35">
      <c r="A103" s="39">
        <v>45976</v>
      </c>
      <c r="B103" s="40" t="s">
        <v>22</v>
      </c>
      <c r="C103" s="40" t="s">
        <v>48</v>
      </c>
      <c r="D103" s="41" t="s">
        <v>77</v>
      </c>
      <c r="E103" s="40">
        <v>2</v>
      </c>
      <c r="F103" s="40">
        <v>13000</v>
      </c>
      <c r="G103" s="42">
        <f t="shared" si="1"/>
        <v>26000</v>
      </c>
      <c r="H103" s="40"/>
      <c r="I103" s="43" t="str">
        <f>IF(OR(B103="",C103=""),"",IF(COUNTIFS(재료목록!$A$2:$A$51,B103,재료목록!$B$2:$B$51,C103)&gt;0,"OK","불일치"))</f>
        <v>OK</v>
      </c>
    </row>
    <row r="104" spans="1:9" ht="17" customHeight="1" x14ac:dyDescent="0.35">
      <c r="A104" s="39">
        <v>45976</v>
      </c>
      <c r="B104" s="40" t="s">
        <v>22</v>
      </c>
      <c r="C104" s="40" t="s">
        <v>55</v>
      </c>
      <c r="D104" s="41" t="s">
        <v>77</v>
      </c>
      <c r="E104" s="40">
        <v>2</v>
      </c>
      <c r="F104" s="40">
        <v>8500</v>
      </c>
      <c r="G104" s="42">
        <f t="shared" si="1"/>
        <v>17000</v>
      </c>
      <c r="H104" s="40"/>
      <c r="I104" s="43" t="str">
        <f>IF(OR(B104="",C104=""),"",IF(COUNTIFS(재료목록!$A$2:$A$51,B104,재료목록!$B$2:$B$51,C104)&gt;0,"OK","불일치"))</f>
        <v>OK</v>
      </c>
    </row>
    <row r="105" spans="1:9" ht="17" customHeight="1" x14ac:dyDescent="0.35">
      <c r="A105" s="39">
        <v>45980</v>
      </c>
      <c r="B105" s="40" t="s">
        <v>22</v>
      </c>
      <c r="C105" s="40" t="s">
        <v>48</v>
      </c>
      <c r="D105" s="41" t="s">
        <v>77</v>
      </c>
      <c r="E105" s="40">
        <v>2</v>
      </c>
      <c r="F105" s="40">
        <v>13000</v>
      </c>
      <c r="G105" s="42">
        <f t="shared" si="1"/>
        <v>26000</v>
      </c>
      <c r="H105" s="40"/>
      <c r="I105" s="43" t="str">
        <f>IF(OR(B105="",C105=""),"",IF(COUNTIFS(재료목록!$A$2:$A$51,B105,재료목록!$B$2:$B$51,C105)&gt;0,"OK","불일치"))</f>
        <v>OK</v>
      </c>
    </row>
    <row r="106" spans="1:9" ht="17" customHeight="1" x14ac:dyDescent="0.35">
      <c r="A106" s="39">
        <v>45980</v>
      </c>
      <c r="B106" s="40" t="s">
        <v>22</v>
      </c>
      <c r="C106" s="40" t="s">
        <v>62</v>
      </c>
      <c r="D106" s="41" t="s">
        <v>77</v>
      </c>
      <c r="E106" s="40">
        <v>1</v>
      </c>
      <c r="F106" s="40">
        <v>8500</v>
      </c>
      <c r="G106" s="42">
        <f t="shared" si="1"/>
        <v>8500</v>
      </c>
      <c r="H106" s="40"/>
      <c r="I106" s="43" t="str">
        <f>IF(OR(B106="",C106=""),"",IF(COUNTIFS(재료목록!$A$2:$A$51,B106,재료목록!$B$2:$B$51,C106)&gt;0,"OK","불일치"))</f>
        <v>OK</v>
      </c>
    </row>
    <row r="107" spans="1:9" ht="17" customHeight="1" x14ac:dyDescent="0.35">
      <c r="A107" s="39">
        <v>45980</v>
      </c>
      <c r="B107" s="40" t="s">
        <v>22</v>
      </c>
      <c r="C107" s="40" t="s">
        <v>55</v>
      </c>
      <c r="D107" s="41" t="s">
        <v>77</v>
      </c>
      <c r="E107" s="40">
        <v>2</v>
      </c>
      <c r="F107" s="40">
        <v>8500</v>
      </c>
      <c r="G107" s="42">
        <f t="shared" si="1"/>
        <v>17000</v>
      </c>
      <c r="H107" s="40"/>
      <c r="I107" s="43" t="str">
        <f>IF(OR(B107="",C107=""),"",IF(COUNTIFS(재료목록!$A$2:$A$51,B107,재료목록!$B$2:$B$51,C107)&gt;0,"OK","불일치"))</f>
        <v>OK</v>
      </c>
    </row>
    <row r="108" spans="1:9" ht="17" customHeight="1" x14ac:dyDescent="0.35">
      <c r="A108" s="39">
        <v>45981</v>
      </c>
      <c r="B108" s="40" t="s">
        <v>22</v>
      </c>
      <c r="C108" s="40" t="s">
        <v>48</v>
      </c>
      <c r="D108" s="41" t="s">
        <v>77</v>
      </c>
      <c r="E108" s="40">
        <v>1</v>
      </c>
      <c r="F108" s="40">
        <v>13000</v>
      </c>
      <c r="G108" s="42">
        <f t="shared" si="1"/>
        <v>13000</v>
      </c>
      <c r="H108" s="40"/>
      <c r="I108" s="43" t="str">
        <f>IF(OR(B108="",C108=""),"",IF(COUNTIFS(재료목록!$A$2:$A$51,B108,재료목록!$B$2:$B$51,C108)&gt;0,"OK","불일치"))</f>
        <v>OK</v>
      </c>
    </row>
    <row r="109" spans="1:9" ht="17" customHeight="1" x14ac:dyDescent="0.35">
      <c r="A109" s="39">
        <v>45981</v>
      </c>
      <c r="B109" s="40" t="s">
        <v>22</v>
      </c>
      <c r="C109" s="40" t="s">
        <v>62</v>
      </c>
      <c r="D109" s="41" t="s">
        <v>77</v>
      </c>
      <c r="E109" s="40">
        <v>1</v>
      </c>
      <c r="F109" s="40">
        <v>8500</v>
      </c>
      <c r="G109" s="42">
        <f t="shared" si="1"/>
        <v>8500</v>
      </c>
      <c r="H109" s="40"/>
      <c r="I109" s="43" t="str">
        <f>IF(OR(B109="",C109=""),"",IF(COUNTIFS(재료목록!$A$2:$A$51,B109,재료목록!$B$2:$B$51,C109)&gt;0,"OK","불일치"))</f>
        <v>OK</v>
      </c>
    </row>
    <row r="110" spans="1:9" ht="17" customHeight="1" x14ac:dyDescent="0.35">
      <c r="A110" s="39">
        <v>45981</v>
      </c>
      <c r="B110" s="40" t="s">
        <v>22</v>
      </c>
      <c r="C110" s="40" t="s">
        <v>55</v>
      </c>
      <c r="D110" s="41" t="s">
        <v>77</v>
      </c>
      <c r="E110" s="40">
        <v>1</v>
      </c>
      <c r="F110" s="40">
        <v>8500</v>
      </c>
      <c r="G110" s="42">
        <f t="shared" si="1"/>
        <v>8500</v>
      </c>
      <c r="H110" s="40"/>
      <c r="I110" s="43" t="str">
        <f>IF(OR(B110="",C110=""),"",IF(COUNTIFS(재료목록!$A$2:$A$51,B110,재료목록!$B$2:$B$51,C110)&gt;0,"OK","불일치"))</f>
        <v>OK</v>
      </c>
    </row>
    <row r="111" spans="1:9" ht="17" customHeight="1" x14ac:dyDescent="0.35">
      <c r="A111" s="39">
        <v>45981</v>
      </c>
      <c r="B111" s="40" t="s">
        <v>22</v>
      </c>
      <c r="C111" s="40" t="s">
        <v>33</v>
      </c>
      <c r="D111" s="41" t="s">
        <v>77</v>
      </c>
      <c r="E111" s="40">
        <v>2</v>
      </c>
      <c r="F111" s="40">
        <v>2200</v>
      </c>
      <c r="G111" s="42">
        <f t="shared" si="1"/>
        <v>4400</v>
      </c>
      <c r="H111" s="40"/>
      <c r="I111" s="43" t="str">
        <f>IF(OR(B111="",C111=""),"",IF(COUNTIFS(재료목록!$A$2:$A$51,B111,재료목록!$B$2:$B$51,C111)&gt;0,"OK","불일치"))</f>
        <v>OK</v>
      </c>
    </row>
    <row r="112" spans="1:9" ht="17" customHeight="1" x14ac:dyDescent="0.35">
      <c r="A112" s="39">
        <v>45981</v>
      </c>
      <c r="B112" s="40" t="s">
        <v>22</v>
      </c>
      <c r="C112" s="40" t="s">
        <v>54</v>
      </c>
      <c r="D112" s="41" t="s">
        <v>77</v>
      </c>
      <c r="E112" s="40">
        <v>2</v>
      </c>
      <c r="F112" s="40">
        <v>2000</v>
      </c>
      <c r="G112" s="42">
        <f t="shared" si="1"/>
        <v>4000</v>
      </c>
      <c r="H112" s="40"/>
      <c r="I112" s="43" t="str">
        <f>IF(OR(B112="",C112=""),"",IF(COUNTIFS(재료목록!$A$2:$A$51,B112,재료목록!$B$2:$B$51,C112)&gt;0,"OK","불일치"))</f>
        <v>OK</v>
      </c>
    </row>
    <row r="113" spans="1:9" ht="17" customHeight="1" x14ac:dyDescent="0.35">
      <c r="A113" s="39">
        <v>45982</v>
      </c>
      <c r="B113" s="40" t="s">
        <v>22</v>
      </c>
      <c r="C113" s="40" t="s">
        <v>48</v>
      </c>
      <c r="D113" s="41" t="s">
        <v>77</v>
      </c>
      <c r="E113" s="40">
        <v>2</v>
      </c>
      <c r="F113" s="40">
        <v>13000</v>
      </c>
      <c r="G113" s="42">
        <f t="shared" si="1"/>
        <v>26000</v>
      </c>
      <c r="H113" s="40"/>
      <c r="I113" s="43" t="str">
        <f>IF(OR(B113="",C113=""),"",IF(COUNTIFS(재료목록!$A$2:$A$51,B113,재료목록!$B$2:$B$51,C113)&gt;0,"OK","불일치"))</f>
        <v>OK</v>
      </c>
    </row>
    <row r="114" spans="1:9" ht="17" customHeight="1" x14ac:dyDescent="0.35">
      <c r="A114" s="39">
        <v>45982</v>
      </c>
      <c r="B114" s="40" t="s">
        <v>22</v>
      </c>
      <c r="C114" s="40" t="s">
        <v>62</v>
      </c>
      <c r="D114" s="41" t="s">
        <v>77</v>
      </c>
      <c r="E114" s="40">
        <v>1</v>
      </c>
      <c r="F114" s="40">
        <v>8500</v>
      </c>
      <c r="G114" s="42">
        <f t="shared" si="1"/>
        <v>8500</v>
      </c>
      <c r="H114" s="40"/>
      <c r="I114" s="43" t="str">
        <f>IF(OR(B114="",C114=""),"",IF(COUNTIFS(재료목록!$A$2:$A$51,B114,재료목록!$B$2:$B$51,C114)&gt;0,"OK","불일치"))</f>
        <v>OK</v>
      </c>
    </row>
    <row r="115" spans="1:9" ht="17" customHeight="1" x14ac:dyDescent="0.35">
      <c r="A115" s="39">
        <v>45982</v>
      </c>
      <c r="B115" s="40" t="s">
        <v>22</v>
      </c>
      <c r="C115" s="40" t="s">
        <v>55</v>
      </c>
      <c r="D115" s="41" t="s">
        <v>77</v>
      </c>
      <c r="E115" s="40">
        <v>1</v>
      </c>
      <c r="F115" s="40">
        <v>8500</v>
      </c>
      <c r="G115" s="42">
        <f t="shared" si="1"/>
        <v>8500</v>
      </c>
      <c r="H115" s="40"/>
      <c r="I115" s="43" t="str">
        <f>IF(OR(B115="",C115=""),"",IF(COUNTIFS(재료목록!$A$2:$A$51,B115,재료목록!$B$2:$B$51,C115)&gt;0,"OK","불일치"))</f>
        <v>OK</v>
      </c>
    </row>
    <row r="116" spans="1:9" ht="17" customHeight="1" x14ac:dyDescent="0.35">
      <c r="A116" s="39">
        <v>45982</v>
      </c>
      <c r="B116" s="40" t="s">
        <v>19</v>
      </c>
      <c r="C116" s="40" t="s">
        <v>49</v>
      </c>
      <c r="D116" s="41" t="s">
        <v>85</v>
      </c>
      <c r="E116" s="40">
        <v>20</v>
      </c>
      <c r="F116" s="40">
        <v>4700</v>
      </c>
      <c r="G116" s="42">
        <f t="shared" si="1"/>
        <v>94000</v>
      </c>
      <c r="H116" s="40" t="s">
        <v>90</v>
      </c>
      <c r="I116" s="43" t="str">
        <f>IF(OR(B116="",C116=""),"",IF(COUNTIFS(재료목록!$A$2:$A$51,B116,재료목록!$B$2:$B$51,C116)&gt;0,"OK","불일치"))</f>
        <v>OK</v>
      </c>
    </row>
    <row r="117" spans="1:9" ht="17" customHeight="1" x14ac:dyDescent="0.35">
      <c r="A117" s="39">
        <v>45982</v>
      </c>
      <c r="B117" s="40" t="s">
        <v>19</v>
      </c>
      <c r="C117" s="40" t="s">
        <v>50</v>
      </c>
      <c r="D117" s="41" t="s">
        <v>85</v>
      </c>
      <c r="E117" s="40">
        <v>1</v>
      </c>
      <c r="F117" s="40">
        <v>4000</v>
      </c>
      <c r="G117" s="42">
        <f t="shared" si="1"/>
        <v>4000</v>
      </c>
      <c r="H117" s="45" t="s">
        <v>91</v>
      </c>
      <c r="I117" s="43" t="str">
        <f>IF(OR(B117="",C117=""),"",IF(COUNTIFS(재료목록!$A$2:$A$51,B117,재료목록!$B$2:$B$51,C117)&gt;0,"OK","불일치"))</f>
        <v>OK</v>
      </c>
    </row>
    <row r="118" spans="1:9" ht="17" customHeight="1" x14ac:dyDescent="0.35">
      <c r="A118" s="39">
        <v>45983</v>
      </c>
      <c r="B118" s="40" t="s">
        <v>22</v>
      </c>
      <c r="C118" s="40" t="s">
        <v>48</v>
      </c>
      <c r="D118" s="41" t="s">
        <v>77</v>
      </c>
      <c r="E118" s="40">
        <v>2</v>
      </c>
      <c r="F118" s="40">
        <v>13000</v>
      </c>
      <c r="G118" s="42">
        <f t="shared" si="1"/>
        <v>26000</v>
      </c>
      <c r="H118" s="40"/>
      <c r="I118" s="43" t="str">
        <f>IF(OR(B118="",C118=""),"",IF(COUNTIFS(재료목록!$A$2:$A$51,B118,재료목록!$B$2:$B$51,C118)&gt;0,"OK","불일치"))</f>
        <v>OK</v>
      </c>
    </row>
    <row r="119" spans="1:9" ht="17" customHeight="1" x14ac:dyDescent="0.35">
      <c r="A119" s="39">
        <v>45983</v>
      </c>
      <c r="B119" s="40" t="s">
        <v>22</v>
      </c>
      <c r="C119" s="40" t="s">
        <v>62</v>
      </c>
      <c r="D119" s="41" t="s">
        <v>77</v>
      </c>
      <c r="E119" s="40">
        <v>1</v>
      </c>
      <c r="F119" s="40">
        <v>8500</v>
      </c>
      <c r="G119" s="42">
        <f t="shared" si="1"/>
        <v>8500</v>
      </c>
      <c r="H119" s="40"/>
      <c r="I119" s="43" t="str">
        <f>IF(OR(B119="",C119=""),"",IF(COUNTIFS(재료목록!$A$2:$A$51,B119,재료목록!$B$2:$B$51,C119)&gt;0,"OK","불일치"))</f>
        <v>OK</v>
      </c>
    </row>
    <row r="120" spans="1:9" ht="17" customHeight="1" x14ac:dyDescent="0.35">
      <c r="A120" s="39">
        <v>45983</v>
      </c>
      <c r="B120" s="40" t="s">
        <v>22</v>
      </c>
      <c r="C120" s="40" t="s">
        <v>55</v>
      </c>
      <c r="D120" s="41" t="s">
        <v>77</v>
      </c>
      <c r="E120" s="40">
        <v>2</v>
      </c>
      <c r="F120" s="40">
        <v>8500</v>
      </c>
      <c r="G120" s="42">
        <f t="shared" si="1"/>
        <v>17000</v>
      </c>
      <c r="H120" s="40"/>
      <c r="I120" s="43" t="str">
        <f>IF(OR(B120="",C120=""),"",IF(COUNTIFS(재료목록!$A$2:$A$51,B120,재료목록!$B$2:$B$51,C120)&gt;0,"OK","불일치"))</f>
        <v>OK</v>
      </c>
    </row>
    <row r="121" spans="1:9" ht="17" customHeight="1" x14ac:dyDescent="0.35">
      <c r="A121" s="39">
        <v>45985</v>
      </c>
      <c r="B121" s="40" t="s">
        <v>16</v>
      </c>
      <c r="C121" s="40" t="s">
        <v>47</v>
      </c>
      <c r="D121" s="41" t="s">
        <v>76</v>
      </c>
      <c r="E121" s="40">
        <v>2</v>
      </c>
      <c r="F121" s="40">
        <v>8000</v>
      </c>
      <c r="G121" s="42">
        <f t="shared" si="1"/>
        <v>16000</v>
      </c>
      <c r="H121" s="40"/>
      <c r="I121" s="43" t="str">
        <f>IF(OR(B121="",C121=""),"",IF(COUNTIFS(재료목록!$A$2:$A$51,B121,재료목록!$B$2:$B$51,C121)&gt;0,"OK","불일치"))</f>
        <v>OK</v>
      </c>
    </row>
    <row r="122" spans="1:9" ht="17" customHeight="1" x14ac:dyDescent="0.35">
      <c r="A122" s="39">
        <v>45985</v>
      </c>
      <c r="B122" s="40" t="s">
        <v>22</v>
      </c>
      <c r="C122" s="40" t="s">
        <v>48</v>
      </c>
      <c r="D122" s="41" t="s">
        <v>77</v>
      </c>
      <c r="E122" s="40">
        <v>2</v>
      </c>
      <c r="F122" s="40">
        <v>13000</v>
      </c>
      <c r="G122" s="42">
        <f t="shared" si="1"/>
        <v>26000</v>
      </c>
      <c r="H122" s="40"/>
      <c r="I122" s="43" t="str">
        <f>IF(OR(B122="",C122=""),"",IF(COUNTIFS(재료목록!$A$2:$A$51,B122,재료목록!$B$2:$B$51,C122)&gt;0,"OK","불일치"))</f>
        <v>OK</v>
      </c>
    </row>
    <row r="123" spans="1:9" ht="17" customHeight="1" x14ac:dyDescent="0.35">
      <c r="A123" s="39">
        <v>45985</v>
      </c>
      <c r="B123" s="40" t="s">
        <v>22</v>
      </c>
      <c r="C123" s="40" t="s">
        <v>62</v>
      </c>
      <c r="D123" s="41" t="s">
        <v>77</v>
      </c>
      <c r="E123" s="40">
        <v>1</v>
      </c>
      <c r="F123" s="40">
        <v>8500</v>
      </c>
      <c r="G123" s="42">
        <f t="shared" si="1"/>
        <v>8500</v>
      </c>
      <c r="H123" s="40"/>
      <c r="I123" s="43" t="str">
        <f>IF(OR(B123="",C123=""),"",IF(COUNTIFS(재료목록!$A$2:$A$51,B123,재료목록!$B$2:$B$51,C123)&gt;0,"OK","불일치"))</f>
        <v>OK</v>
      </c>
    </row>
    <row r="124" spans="1:9" ht="17" customHeight="1" x14ac:dyDescent="0.35">
      <c r="A124" s="39">
        <v>45985</v>
      </c>
      <c r="B124" s="40" t="s">
        <v>22</v>
      </c>
      <c r="C124" s="40" t="s">
        <v>55</v>
      </c>
      <c r="D124" s="41" t="s">
        <v>77</v>
      </c>
      <c r="E124" s="40">
        <v>1</v>
      </c>
      <c r="F124" s="40">
        <v>8500</v>
      </c>
      <c r="G124" s="42">
        <f t="shared" si="1"/>
        <v>8500</v>
      </c>
      <c r="H124" s="40"/>
      <c r="I124" s="43" t="str">
        <f>IF(OR(B124="",C124=""),"",IF(COUNTIFS(재료목록!$A$2:$A$51,B124,재료목록!$B$2:$B$51,C124)&gt;0,"OK","불일치"))</f>
        <v>OK</v>
      </c>
    </row>
    <row r="125" spans="1:9" ht="17" customHeight="1" x14ac:dyDescent="0.35">
      <c r="A125" s="39">
        <v>45986</v>
      </c>
      <c r="B125" s="40" t="s">
        <v>11</v>
      </c>
      <c r="C125" s="40" t="s">
        <v>28</v>
      </c>
      <c r="D125" s="41" t="s">
        <v>78</v>
      </c>
      <c r="E125" s="40">
        <v>2</v>
      </c>
      <c r="F125" s="40">
        <v>48000</v>
      </c>
      <c r="G125" s="42">
        <f t="shared" si="1"/>
        <v>96000</v>
      </c>
      <c r="H125" s="40"/>
      <c r="I125" s="43" t="str">
        <f>IF(OR(B125="",C125=""),"",IF(COUNTIFS(재료목록!$A$2:$A$51,B125,재료목록!$B$2:$B$51,C125)&gt;0,"OK","불일치"))</f>
        <v>OK</v>
      </c>
    </row>
    <row r="126" spans="1:9" ht="17" customHeight="1" x14ac:dyDescent="0.35">
      <c r="A126" s="39">
        <v>45986</v>
      </c>
      <c r="B126" s="40" t="s">
        <v>11</v>
      </c>
      <c r="C126" s="44" t="s">
        <v>30</v>
      </c>
      <c r="D126" s="41" t="s">
        <v>78</v>
      </c>
      <c r="E126" s="40">
        <v>1</v>
      </c>
      <c r="F126" s="40">
        <v>-23000</v>
      </c>
      <c r="G126" s="42">
        <f t="shared" si="1"/>
        <v>-23000</v>
      </c>
      <c r="H126" s="40"/>
      <c r="I126" s="43" t="str">
        <f>IF(OR(B126="",C126=""),"",IF(COUNTIFS(재료목록!$A$2:$A$51,B126,재료목록!$B$2:$B$51,C126)&gt;0,"OK","불일치"))</f>
        <v>OK</v>
      </c>
    </row>
    <row r="127" spans="1:9" ht="17" customHeight="1" x14ac:dyDescent="0.35">
      <c r="A127" s="39">
        <v>45987</v>
      </c>
      <c r="B127" s="40" t="s">
        <v>22</v>
      </c>
      <c r="C127" s="40" t="s">
        <v>48</v>
      </c>
      <c r="D127" s="41" t="s">
        <v>77</v>
      </c>
      <c r="E127" s="40">
        <v>2</v>
      </c>
      <c r="F127" s="40">
        <v>13000</v>
      </c>
      <c r="G127" s="42">
        <f t="shared" si="1"/>
        <v>26000</v>
      </c>
      <c r="H127" s="40"/>
      <c r="I127" s="43" t="str">
        <f>IF(OR(B127="",C127=""),"",IF(COUNTIFS(재료목록!$A$2:$A$51,B127,재료목록!$B$2:$B$51,C127)&gt;0,"OK","불일치"))</f>
        <v>OK</v>
      </c>
    </row>
    <row r="128" spans="1:9" ht="17" customHeight="1" x14ac:dyDescent="0.35">
      <c r="A128" s="39">
        <v>45987</v>
      </c>
      <c r="B128" s="40" t="s">
        <v>22</v>
      </c>
      <c r="C128" s="40" t="s">
        <v>62</v>
      </c>
      <c r="D128" s="41" t="s">
        <v>77</v>
      </c>
      <c r="E128" s="40">
        <v>1</v>
      </c>
      <c r="F128" s="40">
        <v>8500</v>
      </c>
      <c r="G128" s="42">
        <f t="shared" si="1"/>
        <v>8500</v>
      </c>
      <c r="H128" s="40"/>
      <c r="I128" s="43" t="str">
        <f>IF(OR(B128="",C128=""),"",IF(COUNTIFS(재료목록!$A$2:$A$51,B128,재료목록!$B$2:$B$51,C128)&gt;0,"OK","불일치"))</f>
        <v>OK</v>
      </c>
    </row>
    <row r="129" spans="1:9" ht="17" customHeight="1" x14ac:dyDescent="0.35">
      <c r="A129" s="39">
        <v>45987</v>
      </c>
      <c r="B129" s="40" t="s">
        <v>22</v>
      </c>
      <c r="C129" s="40" t="s">
        <v>55</v>
      </c>
      <c r="D129" s="41" t="s">
        <v>77</v>
      </c>
      <c r="E129" s="40">
        <v>2</v>
      </c>
      <c r="F129" s="40">
        <v>8500</v>
      </c>
      <c r="G129" s="42">
        <f t="shared" si="1"/>
        <v>17000</v>
      </c>
      <c r="H129" s="40"/>
      <c r="I129" s="43" t="str">
        <f>IF(OR(B129="",C129=""),"",IF(COUNTIFS(재료목록!$A$2:$A$51,B129,재료목록!$B$2:$B$51,C129)&gt;0,"OK","불일치"))</f>
        <v>OK</v>
      </c>
    </row>
    <row r="130" spans="1:9" ht="17" customHeight="1" x14ac:dyDescent="0.35">
      <c r="A130" s="39">
        <v>45988</v>
      </c>
      <c r="B130" s="40" t="s">
        <v>22</v>
      </c>
      <c r="C130" s="40" t="s">
        <v>48</v>
      </c>
      <c r="D130" s="41" t="s">
        <v>77</v>
      </c>
      <c r="E130" s="40">
        <v>1</v>
      </c>
      <c r="F130" s="40">
        <v>13000</v>
      </c>
      <c r="G130" s="42">
        <f t="shared" ref="G130:G193" si="2">IF(OR(E130="",F130=""),"",E130*F130)</f>
        <v>13000</v>
      </c>
      <c r="H130" s="40"/>
      <c r="I130" s="43" t="str">
        <f>IF(OR(B130="",C130=""),"",IF(COUNTIFS(재료목록!$A$2:$A$51,B130,재료목록!$B$2:$B$51,C130)&gt;0,"OK","불일치"))</f>
        <v>OK</v>
      </c>
    </row>
    <row r="131" spans="1:9" ht="17" customHeight="1" x14ac:dyDescent="0.35">
      <c r="A131" s="39">
        <v>45988</v>
      </c>
      <c r="B131" s="40" t="s">
        <v>22</v>
      </c>
      <c r="C131" s="40" t="s">
        <v>62</v>
      </c>
      <c r="D131" s="41" t="s">
        <v>77</v>
      </c>
      <c r="E131" s="40">
        <v>1</v>
      </c>
      <c r="F131" s="40">
        <v>8500</v>
      </c>
      <c r="G131" s="42">
        <f t="shared" si="2"/>
        <v>8500</v>
      </c>
      <c r="H131" s="40"/>
      <c r="I131" s="43" t="str">
        <f>IF(OR(B131="",C131=""),"",IF(COUNTIFS(재료목록!$A$2:$A$51,B131,재료목록!$B$2:$B$51,C131)&gt;0,"OK","불일치"))</f>
        <v>OK</v>
      </c>
    </row>
    <row r="132" spans="1:9" ht="17" customHeight="1" x14ac:dyDescent="0.35">
      <c r="A132" s="39">
        <v>45988</v>
      </c>
      <c r="B132" s="40" t="s">
        <v>22</v>
      </c>
      <c r="C132" s="40" t="s">
        <v>55</v>
      </c>
      <c r="D132" s="41" t="s">
        <v>77</v>
      </c>
      <c r="E132" s="40">
        <v>1</v>
      </c>
      <c r="F132" s="40">
        <v>8500</v>
      </c>
      <c r="G132" s="42">
        <f t="shared" si="2"/>
        <v>8500</v>
      </c>
      <c r="H132" s="40"/>
      <c r="I132" s="43" t="str">
        <f>IF(OR(B132="",C132=""),"",IF(COUNTIFS(재료목록!$A$2:$A$51,B132,재료목록!$B$2:$B$51,C132)&gt;0,"OK","불일치"))</f>
        <v>OK</v>
      </c>
    </row>
    <row r="133" spans="1:9" ht="17" customHeight="1" x14ac:dyDescent="0.35">
      <c r="A133" s="39">
        <v>45989</v>
      </c>
      <c r="B133" s="40" t="s">
        <v>22</v>
      </c>
      <c r="C133" s="40" t="s">
        <v>48</v>
      </c>
      <c r="D133" s="41" t="s">
        <v>77</v>
      </c>
      <c r="E133" s="40">
        <v>1</v>
      </c>
      <c r="F133" s="40">
        <v>13000</v>
      </c>
      <c r="G133" s="42">
        <f t="shared" si="2"/>
        <v>13000</v>
      </c>
      <c r="H133" s="40"/>
      <c r="I133" s="43" t="str">
        <f>IF(OR(B133="",C133=""),"",IF(COUNTIFS(재료목록!$A$2:$A$51,B133,재료목록!$B$2:$B$51,C133)&gt;0,"OK","불일치"))</f>
        <v>OK</v>
      </c>
    </row>
    <row r="134" spans="1:9" ht="17" customHeight="1" x14ac:dyDescent="0.35">
      <c r="A134" s="39">
        <v>45989</v>
      </c>
      <c r="B134" s="40" t="s">
        <v>22</v>
      </c>
      <c r="C134" s="40" t="s">
        <v>62</v>
      </c>
      <c r="D134" s="41" t="s">
        <v>77</v>
      </c>
      <c r="E134" s="40">
        <v>1</v>
      </c>
      <c r="F134" s="40">
        <v>8500</v>
      </c>
      <c r="G134" s="42">
        <f t="shared" si="2"/>
        <v>8500</v>
      </c>
      <c r="H134" s="40"/>
      <c r="I134" s="43" t="str">
        <f>IF(OR(B134="",C134=""),"",IF(COUNTIFS(재료목록!$A$2:$A$51,B134,재료목록!$B$2:$B$51,C134)&gt;0,"OK","불일치"))</f>
        <v>OK</v>
      </c>
    </row>
    <row r="135" spans="1:9" ht="17" customHeight="1" x14ac:dyDescent="0.35">
      <c r="A135" s="39">
        <v>45989</v>
      </c>
      <c r="B135" s="40" t="s">
        <v>22</v>
      </c>
      <c r="C135" s="40" t="s">
        <v>55</v>
      </c>
      <c r="D135" s="41" t="s">
        <v>77</v>
      </c>
      <c r="E135" s="40">
        <v>1</v>
      </c>
      <c r="F135" s="40">
        <v>8500</v>
      </c>
      <c r="G135" s="42">
        <f t="shared" si="2"/>
        <v>8500</v>
      </c>
      <c r="H135" s="40"/>
      <c r="I135" s="43" t="str">
        <f>IF(OR(B135="",C135=""),"",IF(COUNTIFS(재료목록!$A$2:$A$51,B135,재료목록!$B$2:$B$51,C135)&gt;0,"OK","불일치"))</f>
        <v>OK</v>
      </c>
    </row>
    <row r="136" spans="1:9" ht="17" customHeight="1" x14ac:dyDescent="0.35">
      <c r="A136" s="39">
        <v>45990</v>
      </c>
      <c r="B136" s="40" t="s">
        <v>16</v>
      </c>
      <c r="C136" s="40" t="s">
        <v>47</v>
      </c>
      <c r="D136" s="41" t="s">
        <v>76</v>
      </c>
      <c r="E136" s="40">
        <v>2</v>
      </c>
      <c r="F136" s="40">
        <v>8000</v>
      </c>
      <c r="G136" s="42">
        <f t="shared" si="2"/>
        <v>16000</v>
      </c>
      <c r="H136" s="40"/>
      <c r="I136" s="43" t="str">
        <f>IF(OR(B136="",C136=""),"",IF(COUNTIFS(재료목록!$A$2:$A$51,B136,재료목록!$B$2:$B$51,C136)&gt;0,"OK","불일치"))</f>
        <v>OK</v>
      </c>
    </row>
    <row r="137" spans="1:9" ht="17" customHeight="1" x14ac:dyDescent="0.35">
      <c r="A137" s="39">
        <v>45990</v>
      </c>
      <c r="B137" s="40" t="s">
        <v>22</v>
      </c>
      <c r="C137" s="40" t="s">
        <v>48</v>
      </c>
      <c r="D137" s="41" t="s">
        <v>77</v>
      </c>
      <c r="E137" s="40">
        <v>2</v>
      </c>
      <c r="F137" s="40">
        <v>13000</v>
      </c>
      <c r="G137" s="42">
        <f t="shared" si="2"/>
        <v>26000</v>
      </c>
      <c r="H137" s="40"/>
      <c r="I137" s="43" t="str">
        <f>IF(OR(B137="",C137=""),"",IF(COUNTIFS(재료목록!$A$2:$A$51,B137,재료목록!$B$2:$B$51,C137)&gt;0,"OK","불일치"))</f>
        <v>OK</v>
      </c>
    </row>
    <row r="138" spans="1:9" ht="17" customHeight="1" x14ac:dyDescent="0.35">
      <c r="A138" s="39">
        <v>45990</v>
      </c>
      <c r="B138" s="40" t="s">
        <v>22</v>
      </c>
      <c r="C138" s="40" t="s">
        <v>62</v>
      </c>
      <c r="D138" s="41" t="s">
        <v>77</v>
      </c>
      <c r="E138" s="40">
        <v>1</v>
      </c>
      <c r="F138" s="40">
        <v>8500</v>
      </c>
      <c r="G138" s="42">
        <f t="shared" si="2"/>
        <v>8500</v>
      </c>
      <c r="H138" s="40"/>
      <c r="I138" s="43" t="str">
        <f>IF(OR(B138="",C138=""),"",IF(COUNTIFS(재료목록!$A$2:$A$51,B138,재료목록!$B$2:$B$51,C138)&gt;0,"OK","불일치"))</f>
        <v>OK</v>
      </c>
    </row>
    <row r="139" spans="1:9" ht="17" customHeight="1" x14ac:dyDescent="0.35">
      <c r="A139" s="39">
        <v>45990</v>
      </c>
      <c r="B139" s="40" t="s">
        <v>22</v>
      </c>
      <c r="C139" s="40" t="s">
        <v>55</v>
      </c>
      <c r="D139" s="41" t="s">
        <v>77</v>
      </c>
      <c r="E139" s="40">
        <v>2</v>
      </c>
      <c r="F139" s="40">
        <v>8500</v>
      </c>
      <c r="G139" s="42">
        <f t="shared" si="2"/>
        <v>17000</v>
      </c>
      <c r="H139" s="40"/>
      <c r="I139" s="43" t="str">
        <f>IF(OR(B139="",C139=""),"",IF(COUNTIFS(재료목록!$A$2:$A$51,B139,재료목록!$B$2:$B$51,C139)&gt;0,"OK","불일치"))</f>
        <v>OK</v>
      </c>
    </row>
    <row r="140" spans="1:9" ht="17" customHeight="1" x14ac:dyDescent="0.35">
      <c r="A140" s="39">
        <v>45992</v>
      </c>
      <c r="B140" s="40" t="s">
        <v>11</v>
      </c>
      <c r="C140" s="40" t="s">
        <v>23</v>
      </c>
      <c r="D140" s="41" t="s">
        <v>73</v>
      </c>
      <c r="E140" s="40">
        <v>2</v>
      </c>
      <c r="F140" s="40">
        <v>42500</v>
      </c>
      <c r="G140" s="42">
        <f t="shared" si="2"/>
        <v>85000</v>
      </c>
      <c r="H140" s="40" t="s">
        <v>74</v>
      </c>
      <c r="I140" s="43" t="str">
        <f>IF(OR(B140="",C140=""),"",IF(COUNTIFS(재료목록!$A$2:$A$51,B140,재료목록!$B$2:$B$51,C140)&gt;0,"OK","불일치"))</f>
        <v>OK</v>
      </c>
    </row>
    <row r="141" spans="1:9" ht="17" customHeight="1" x14ac:dyDescent="0.35">
      <c r="A141" s="39">
        <v>45992</v>
      </c>
      <c r="B141" s="40" t="s">
        <v>16</v>
      </c>
      <c r="C141" s="40" t="s">
        <v>37</v>
      </c>
      <c r="D141" s="41" t="s">
        <v>81</v>
      </c>
      <c r="E141" s="40">
        <v>2</v>
      </c>
      <c r="F141" s="40">
        <v>46000</v>
      </c>
      <c r="G141" s="42">
        <f t="shared" si="2"/>
        <v>92000</v>
      </c>
      <c r="H141" s="40"/>
      <c r="I141" s="43" t="str">
        <f>IF(OR(B141="",C141=""),"",IF(COUNTIFS(재료목록!$A$2:$A$51,B141,재료목록!$B$2:$B$51,C141)&gt;0,"OK","불일치"))</f>
        <v>OK</v>
      </c>
    </row>
    <row r="142" spans="1:9" ht="17" customHeight="1" x14ac:dyDescent="0.35">
      <c r="A142" s="39">
        <v>45992</v>
      </c>
      <c r="B142" s="40" t="s">
        <v>22</v>
      </c>
      <c r="C142" s="40" t="s">
        <v>48</v>
      </c>
      <c r="D142" s="41" t="s">
        <v>77</v>
      </c>
      <c r="E142" s="40">
        <v>1</v>
      </c>
      <c r="F142" s="40">
        <v>13000</v>
      </c>
      <c r="G142" s="42">
        <f t="shared" si="2"/>
        <v>13000</v>
      </c>
      <c r="H142" s="40"/>
      <c r="I142" s="43" t="str">
        <f>IF(OR(B142="",C142=""),"",IF(COUNTIFS(재료목록!$A$2:$A$51,B142,재료목록!$B$2:$B$51,C142)&gt;0,"OK","불일치"))</f>
        <v>OK</v>
      </c>
    </row>
    <row r="143" spans="1:9" ht="17" customHeight="1" x14ac:dyDescent="0.35">
      <c r="A143" s="39">
        <v>45992</v>
      </c>
      <c r="B143" s="40" t="s">
        <v>22</v>
      </c>
      <c r="C143" s="40" t="s">
        <v>62</v>
      </c>
      <c r="D143" s="41" t="s">
        <v>77</v>
      </c>
      <c r="E143" s="40">
        <v>1</v>
      </c>
      <c r="F143" s="40">
        <v>8500</v>
      </c>
      <c r="G143" s="42">
        <f t="shared" si="2"/>
        <v>8500</v>
      </c>
      <c r="H143" s="40"/>
      <c r="I143" s="43" t="str">
        <f>IF(OR(B143="",C143=""),"",IF(COUNTIFS(재료목록!$A$2:$A$51,B143,재료목록!$B$2:$B$51,C143)&gt;0,"OK","불일치"))</f>
        <v>OK</v>
      </c>
    </row>
    <row r="144" spans="1:9" ht="17" customHeight="1" x14ac:dyDescent="0.35">
      <c r="A144" s="39">
        <v>45992</v>
      </c>
      <c r="B144" s="40" t="s">
        <v>22</v>
      </c>
      <c r="C144" s="40" t="s">
        <v>55</v>
      </c>
      <c r="D144" s="41" t="s">
        <v>77</v>
      </c>
      <c r="E144" s="40">
        <v>2</v>
      </c>
      <c r="F144" s="40">
        <v>8500</v>
      </c>
      <c r="G144" s="42">
        <f t="shared" si="2"/>
        <v>17000</v>
      </c>
      <c r="H144" s="40"/>
      <c r="I144" s="43" t="str">
        <f>IF(OR(B144="",C144=""),"",IF(COUNTIFS(재료목록!$A$2:$A$51,B144,재료목록!$B$2:$B$51,C144)&gt;0,"OK","불일치"))</f>
        <v>OK</v>
      </c>
    </row>
    <row r="145" spans="1:9" ht="17" customHeight="1" x14ac:dyDescent="0.35">
      <c r="A145" s="39">
        <v>45992</v>
      </c>
      <c r="B145" s="40" t="s">
        <v>22</v>
      </c>
      <c r="C145" s="40" t="s">
        <v>33</v>
      </c>
      <c r="D145" s="41" t="s">
        <v>77</v>
      </c>
      <c r="E145" s="40">
        <v>5</v>
      </c>
      <c r="F145" s="40">
        <v>2200</v>
      </c>
      <c r="G145" s="42">
        <f t="shared" si="2"/>
        <v>11000</v>
      </c>
      <c r="H145" s="40"/>
      <c r="I145" s="43" t="str">
        <f>IF(OR(B145="",C145=""),"",IF(COUNTIFS(재료목록!$A$2:$A$51,B145,재료목록!$B$2:$B$51,C145)&gt;0,"OK","불일치"))</f>
        <v>OK</v>
      </c>
    </row>
    <row r="146" spans="1:9" ht="17" customHeight="1" x14ac:dyDescent="0.35">
      <c r="A146" s="39">
        <v>45992</v>
      </c>
      <c r="B146" s="40" t="s">
        <v>22</v>
      </c>
      <c r="C146" s="40" t="s">
        <v>54</v>
      </c>
      <c r="D146" s="41" t="s">
        <v>77</v>
      </c>
      <c r="E146" s="40">
        <v>5</v>
      </c>
      <c r="F146" s="40">
        <v>2000</v>
      </c>
      <c r="G146" s="42">
        <f t="shared" si="2"/>
        <v>10000</v>
      </c>
      <c r="H146" s="40"/>
      <c r="I146" s="43" t="str">
        <f>IF(OR(B146="",C146=""),"",IF(COUNTIFS(재료목록!$A$2:$A$51,B146,재료목록!$B$2:$B$51,C146)&gt;0,"OK","불일치"))</f>
        <v>OK</v>
      </c>
    </row>
    <row r="147" spans="1:9" ht="17" customHeight="1" x14ac:dyDescent="0.35">
      <c r="A147" s="39">
        <v>45993</v>
      </c>
      <c r="B147" s="40" t="s">
        <v>11</v>
      </c>
      <c r="C147" s="40" t="s">
        <v>12</v>
      </c>
      <c r="D147" s="41" t="s">
        <v>92</v>
      </c>
      <c r="E147" s="40">
        <v>20</v>
      </c>
      <c r="F147" s="40">
        <v>6500</v>
      </c>
      <c r="G147" s="42">
        <f t="shared" si="2"/>
        <v>130000</v>
      </c>
      <c r="H147" s="40" t="s">
        <v>93</v>
      </c>
      <c r="I147" s="43" t="str">
        <f>IF(OR(B147="",C147=""),"",IF(COUNTIFS(재료목록!$A$2:$A$51,B147,재료목록!$B$2:$B$51,C147)&gt;0,"OK","불일치"))</f>
        <v>OK</v>
      </c>
    </row>
    <row r="148" spans="1:9" ht="17" customHeight="1" x14ac:dyDescent="0.35">
      <c r="A148" s="39">
        <v>45993</v>
      </c>
      <c r="B148" s="40" t="s">
        <v>11</v>
      </c>
      <c r="C148" s="40" t="s">
        <v>14</v>
      </c>
      <c r="D148" s="41" t="s">
        <v>92</v>
      </c>
      <c r="E148" s="40">
        <v>1</v>
      </c>
      <c r="F148" s="40">
        <v>8000</v>
      </c>
      <c r="G148" s="42">
        <f t="shared" si="2"/>
        <v>8000</v>
      </c>
      <c r="H148" s="40"/>
      <c r="I148" s="43" t="str">
        <f>IF(OR(B148="",C148=""),"",IF(COUNTIFS(재료목록!$A$2:$A$51,B148,재료목록!$B$2:$B$51,C148)&gt;0,"OK","불일치"))</f>
        <v>OK</v>
      </c>
    </row>
    <row r="149" spans="1:9" ht="17" customHeight="1" x14ac:dyDescent="0.35">
      <c r="A149" s="39">
        <v>45993</v>
      </c>
      <c r="B149" s="40" t="s">
        <v>22</v>
      </c>
      <c r="C149" s="40" t="s">
        <v>48</v>
      </c>
      <c r="D149" s="41" t="s">
        <v>77</v>
      </c>
      <c r="E149" s="40">
        <v>1</v>
      </c>
      <c r="F149" s="40">
        <v>13000</v>
      </c>
      <c r="G149" s="42">
        <f t="shared" si="2"/>
        <v>13000</v>
      </c>
      <c r="H149" s="40"/>
      <c r="I149" s="43" t="str">
        <f>IF(OR(B149="",C149=""),"",IF(COUNTIFS(재료목록!$A$2:$A$51,B149,재료목록!$B$2:$B$51,C149)&gt;0,"OK","불일치"))</f>
        <v>OK</v>
      </c>
    </row>
    <row r="150" spans="1:9" ht="17" customHeight="1" x14ac:dyDescent="0.35">
      <c r="A150" s="39">
        <v>45994</v>
      </c>
      <c r="B150" s="40" t="s">
        <v>22</v>
      </c>
      <c r="C150" s="40" t="s">
        <v>48</v>
      </c>
      <c r="D150" s="41" t="s">
        <v>77</v>
      </c>
      <c r="E150" s="40">
        <v>1</v>
      </c>
      <c r="F150" s="40">
        <v>13000</v>
      </c>
      <c r="G150" s="42">
        <f t="shared" si="2"/>
        <v>13000</v>
      </c>
      <c r="H150" s="40"/>
      <c r="I150" s="43" t="str">
        <f>IF(OR(B150="",C150=""),"",IF(COUNTIFS(재료목록!$A$2:$A$51,B150,재료목록!$B$2:$B$51,C150)&gt;0,"OK","불일치"))</f>
        <v>OK</v>
      </c>
    </row>
    <row r="151" spans="1:9" ht="17" customHeight="1" x14ac:dyDescent="0.35">
      <c r="A151" s="39">
        <v>45994</v>
      </c>
      <c r="B151" s="40" t="s">
        <v>22</v>
      </c>
      <c r="C151" s="40" t="s">
        <v>62</v>
      </c>
      <c r="D151" s="41" t="s">
        <v>77</v>
      </c>
      <c r="E151" s="40">
        <v>1</v>
      </c>
      <c r="F151" s="40">
        <v>8500</v>
      </c>
      <c r="G151" s="42">
        <f t="shared" si="2"/>
        <v>8500</v>
      </c>
      <c r="H151" s="40"/>
      <c r="I151" s="43" t="str">
        <f>IF(OR(B151="",C151=""),"",IF(COUNTIFS(재료목록!$A$2:$A$51,B151,재료목록!$B$2:$B$51,C151)&gt;0,"OK","불일치"))</f>
        <v>OK</v>
      </c>
    </row>
    <row r="152" spans="1:9" ht="17" customHeight="1" x14ac:dyDescent="0.35">
      <c r="A152" s="39">
        <v>45994</v>
      </c>
      <c r="B152" s="40" t="s">
        <v>22</v>
      </c>
      <c r="C152" s="40" t="s">
        <v>55</v>
      </c>
      <c r="D152" s="41" t="s">
        <v>77</v>
      </c>
      <c r="E152" s="40">
        <v>1</v>
      </c>
      <c r="F152" s="40">
        <v>8500</v>
      </c>
      <c r="G152" s="42">
        <f t="shared" si="2"/>
        <v>8500</v>
      </c>
      <c r="H152" s="40"/>
      <c r="I152" s="43" t="str">
        <f>IF(OR(B152="",C152=""),"",IF(COUNTIFS(재료목록!$A$2:$A$51,B152,재료목록!$B$2:$B$51,C152)&gt;0,"OK","불일치"))</f>
        <v>OK</v>
      </c>
    </row>
    <row r="153" spans="1:9" ht="17" customHeight="1" x14ac:dyDescent="0.35">
      <c r="A153" s="39">
        <v>45995</v>
      </c>
      <c r="B153" s="40" t="s">
        <v>22</v>
      </c>
      <c r="C153" s="40" t="s">
        <v>48</v>
      </c>
      <c r="D153" s="41" t="s">
        <v>77</v>
      </c>
      <c r="E153" s="40">
        <v>1</v>
      </c>
      <c r="F153" s="40">
        <v>13000</v>
      </c>
      <c r="G153" s="42">
        <f t="shared" si="2"/>
        <v>13000</v>
      </c>
      <c r="H153" s="40"/>
      <c r="I153" s="43" t="str">
        <f>IF(OR(B153="",C153=""),"",IF(COUNTIFS(재료목록!$A$2:$A$51,B153,재료목록!$B$2:$B$51,C153)&gt;0,"OK","불일치"))</f>
        <v>OK</v>
      </c>
    </row>
    <row r="154" spans="1:9" ht="17" customHeight="1" x14ac:dyDescent="0.35">
      <c r="A154" s="39">
        <v>45995</v>
      </c>
      <c r="B154" s="40" t="s">
        <v>22</v>
      </c>
      <c r="C154" s="40" t="s">
        <v>62</v>
      </c>
      <c r="D154" s="41" t="s">
        <v>77</v>
      </c>
      <c r="E154" s="40">
        <v>1</v>
      </c>
      <c r="F154" s="40">
        <v>8500</v>
      </c>
      <c r="G154" s="42">
        <f t="shared" si="2"/>
        <v>8500</v>
      </c>
      <c r="H154" s="40"/>
      <c r="I154" s="43" t="str">
        <f>IF(OR(B154="",C154=""),"",IF(COUNTIFS(재료목록!$A$2:$A$51,B154,재료목록!$B$2:$B$51,C154)&gt;0,"OK","불일치"))</f>
        <v>OK</v>
      </c>
    </row>
    <row r="155" spans="1:9" ht="17" customHeight="1" x14ac:dyDescent="0.35">
      <c r="A155" s="39">
        <v>45995</v>
      </c>
      <c r="B155" s="40" t="s">
        <v>22</v>
      </c>
      <c r="C155" s="40" t="s">
        <v>55</v>
      </c>
      <c r="D155" s="41" t="s">
        <v>77</v>
      </c>
      <c r="E155" s="40">
        <v>1</v>
      </c>
      <c r="F155" s="40">
        <v>8500</v>
      </c>
      <c r="G155" s="42">
        <f t="shared" si="2"/>
        <v>8500</v>
      </c>
      <c r="H155" s="40"/>
      <c r="I155" s="43" t="str">
        <f>IF(OR(B155="",C155=""),"",IF(COUNTIFS(재료목록!$A$2:$A$51,B155,재료목록!$B$2:$B$51,C155)&gt;0,"OK","불일치"))</f>
        <v>OK</v>
      </c>
    </row>
    <row r="156" spans="1:9" ht="17" customHeight="1" x14ac:dyDescent="0.35">
      <c r="A156" s="39">
        <v>45996</v>
      </c>
      <c r="B156" s="40" t="s">
        <v>22</v>
      </c>
      <c r="C156" s="40" t="s">
        <v>48</v>
      </c>
      <c r="D156" s="41" t="s">
        <v>77</v>
      </c>
      <c r="E156" s="40">
        <v>2</v>
      </c>
      <c r="F156" s="40">
        <v>13000</v>
      </c>
      <c r="G156" s="42">
        <f t="shared" si="2"/>
        <v>26000</v>
      </c>
      <c r="H156" s="40"/>
      <c r="I156" s="43" t="str">
        <f>IF(OR(B156="",C156=""),"",IF(COUNTIFS(재료목록!$A$2:$A$51,B156,재료목록!$B$2:$B$51,C156)&gt;0,"OK","불일치"))</f>
        <v>OK</v>
      </c>
    </row>
    <row r="157" spans="1:9" ht="17" customHeight="1" x14ac:dyDescent="0.35">
      <c r="A157" s="39">
        <v>45996</v>
      </c>
      <c r="B157" s="40" t="s">
        <v>22</v>
      </c>
      <c r="C157" s="40" t="s">
        <v>55</v>
      </c>
      <c r="D157" s="41" t="s">
        <v>77</v>
      </c>
      <c r="E157" s="40">
        <v>1</v>
      </c>
      <c r="F157" s="40">
        <v>8500</v>
      </c>
      <c r="G157" s="42">
        <f t="shared" si="2"/>
        <v>8500</v>
      </c>
      <c r="H157" s="40"/>
      <c r="I157" s="43" t="str">
        <f>IF(OR(B157="",C157=""),"",IF(COUNTIFS(재료목록!$A$2:$A$51,B157,재료목록!$B$2:$B$51,C157)&gt;0,"OK","불일치"))</f>
        <v>OK</v>
      </c>
    </row>
    <row r="158" spans="1:9" ht="17" customHeight="1" x14ac:dyDescent="0.35">
      <c r="A158" s="39">
        <v>45997</v>
      </c>
      <c r="B158" s="40" t="s">
        <v>16</v>
      </c>
      <c r="C158" s="40" t="s">
        <v>43</v>
      </c>
      <c r="D158" s="41" t="s">
        <v>94</v>
      </c>
      <c r="E158" s="40">
        <v>20</v>
      </c>
      <c r="F158" s="40">
        <v>1800</v>
      </c>
      <c r="G158" s="42">
        <f t="shared" si="2"/>
        <v>36000</v>
      </c>
      <c r="H158" s="40"/>
      <c r="I158" s="43" t="str">
        <f>IF(OR(B158="",C158=""),"",IF(COUNTIFS(재료목록!$A$2:$A$51,B158,재료목록!$B$2:$B$51,C158)&gt;0,"OK","불일치"))</f>
        <v>OK</v>
      </c>
    </row>
    <row r="159" spans="1:9" ht="17" customHeight="1" x14ac:dyDescent="0.35">
      <c r="A159" s="39">
        <v>45997</v>
      </c>
      <c r="B159" s="40" t="s">
        <v>16</v>
      </c>
      <c r="C159" s="40" t="s">
        <v>45</v>
      </c>
      <c r="D159" s="41" t="s">
        <v>94</v>
      </c>
      <c r="E159" s="40">
        <v>1</v>
      </c>
      <c r="F159" s="40">
        <v>6000</v>
      </c>
      <c r="G159" s="42">
        <f t="shared" si="2"/>
        <v>6000</v>
      </c>
      <c r="H159" s="40"/>
      <c r="I159" s="43" t="str">
        <f>IF(OR(B159="",C159=""),"",IF(COUNTIFS(재료목록!$A$2:$A$51,B159,재료목록!$B$2:$B$51,C159)&gt;0,"OK","불일치"))</f>
        <v>OK</v>
      </c>
    </row>
    <row r="160" spans="1:9" ht="17" customHeight="1" x14ac:dyDescent="0.35">
      <c r="A160" s="39">
        <v>45997</v>
      </c>
      <c r="B160" s="40" t="s">
        <v>22</v>
      </c>
      <c r="C160" s="40" t="s">
        <v>48</v>
      </c>
      <c r="D160" s="41" t="s">
        <v>77</v>
      </c>
      <c r="E160" s="40">
        <v>2</v>
      </c>
      <c r="F160" s="40">
        <v>13000</v>
      </c>
      <c r="G160" s="42">
        <f t="shared" si="2"/>
        <v>26000</v>
      </c>
      <c r="H160" s="40"/>
      <c r="I160" s="43" t="str">
        <f>IF(OR(B160="",C160=""),"",IF(COUNTIFS(재료목록!$A$2:$A$51,B160,재료목록!$B$2:$B$51,C160)&gt;0,"OK","불일치"))</f>
        <v>OK</v>
      </c>
    </row>
    <row r="161" spans="1:9" ht="17" customHeight="1" x14ac:dyDescent="0.35">
      <c r="A161" s="39">
        <v>45997</v>
      </c>
      <c r="B161" s="40" t="s">
        <v>22</v>
      </c>
      <c r="C161" s="40" t="s">
        <v>62</v>
      </c>
      <c r="D161" s="41" t="s">
        <v>77</v>
      </c>
      <c r="E161" s="40">
        <v>2</v>
      </c>
      <c r="F161" s="40">
        <v>8500</v>
      </c>
      <c r="G161" s="42">
        <f t="shared" si="2"/>
        <v>17000</v>
      </c>
      <c r="H161" s="40"/>
      <c r="I161" s="43" t="str">
        <f>IF(OR(B161="",C161=""),"",IF(COUNTIFS(재료목록!$A$2:$A$51,B161,재료목록!$B$2:$B$51,C161)&gt;0,"OK","불일치"))</f>
        <v>OK</v>
      </c>
    </row>
    <row r="162" spans="1:9" ht="17" customHeight="1" x14ac:dyDescent="0.35">
      <c r="A162" s="39">
        <v>45999</v>
      </c>
      <c r="B162" s="40" t="s">
        <v>16</v>
      </c>
      <c r="C162" s="40" t="s">
        <v>51</v>
      </c>
      <c r="D162" s="41" t="s">
        <v>95</v>
      </c>
      <c r="E162" s="40">
        <v>2</v>
      </c>
      <c r="F162" s="40">
        <v>6500</v>
      </c>
      <c r="G162" s="42">
        <f t="shared" si="2"/>
        <v>13000</v>
      </c>
      <c r="H162" s="40"/>
      <c r="I162" s="43" t="str">
        <f>IF(OR(B162="",C162=""),"",IF(COUNTIFS(재료목록!$A$2:$A$51,B162,재료목록!$B$2:$B$51,C162)&gt;0,"OK","불일치"))</f>
        <v>OK</v>
      </c>
    </row>
    <row r="163" spans="1:9" ht="17" customHeight="1" x14ac:dyDescent="0.35">
      <c r="A163" s="39">
        <v>45999</v>
      </c>
      <c r="B163" s="40" t="s">
        <v>16</v>
      </c>
      <c r="C163" s="40" t="s">
        <v>47</v>
      </c>
      <c r="D163" s="41" t="s">
        <v>76</v>
      </c>
      <c r="E163" s="40">
        <v>2</v>
      </c>
      <c r="F163" s="40">
        <v>8000</v>
      </c>
      <c r="G163" s="42">
        <f t="shared" si="2"/>
        <v>16000</v>
      </c>
      <c r="H163" s="40"/>
      <c r="I163" s="43" t="str">
        <f>IF(OR(B163="",C163=""),"",IF(COUNTIFS(재료목록!$A$2:$A$51,B163,재료목록!$B$2:$B$51,C163)&gt;0,"OK","불일치"))</f>
        <v>OK</v>
      </c>
    </row>
    <row r="164" spans="1:9" ht="17" customHeight="1" x14ac:dyDescent="0.35">
      <c r="A164" s="39">
        <v>45999</v>
      </c>
      <c r="B164" s="40" t="s">
        <v>22</v>
      </c>
      <c r="C164" s="40" t="s">
        <v>63</v>
      </c>
      <c r="D164" s="41" t="s">
        <v>75</v>
      </c>
      <c r="E164" s="40">
        <v>1</v>
      </c>
      <c r="F164" s="40">
        <v>48000</v>
      </c>
      <c r="G164" s="42">
        <f t="shared" si="2"/>
        <v>48000</v>
      </c>
      <c r="H164" s="40"/>
      <c r="I164" s="43" t="str">
        <f>IF(OR(B164="",C164=""),"",IF(COUNTIFS(재료목록!$A$2:$A$51,B164,재료목록!$B$2:$B$51,C164)&gt;0,"OK","불일치"))</f>
        <v>OK</v>
      </c>
    </row>
    <row r="165" spans="1:9" ht="17" customHeight="1" x14ac:dyDescent="0.35">
      <c r="A165" s="39">
        <v>45999</v>
      </c>
      <c r="B165" s="40" t="s">
        <v>22</v>
      </c>
      <c r="C165" s="40" t="s">
        <v>48</v>
      </c>
      <c r="D165" s="41" t="s">
        <v>77</v>
      </c>
      <c r="E165" s="40">
        <v>2</v>
      </c>
      <c r="F165" s="40">
        <v>13000</v>
      </c>
      <c r="G165" s="42">
        <f t="shared" si="2"/>
        <v>26000</v>
      </c>
      <c r="H165" s="40"/>
      <c r="I165" s="43" t="str">
        <f>IF(OR(B165="",C165=""),"",IF(COUNTIFS(재료목록!$A$2:$A$51,B165,재료목록!$B$2:$B$51,C165)&gt;0,"OK","불일치"))</f>
        <v>OK</v>
      </c>
    </row>
    <row r="166" spans="1:9" ht="17" customHeight="1" x14ac:dyDescent="0.35">
      <c r="A166" s="39">
        <v>45999</v>
      </c>
      <c r="B166" s="40" t="s">
        <v>22</v>
      </c>
      <c r="C166" s="40" t="s">
        <v>62</v>
      </c>
      <c r="D166" s="41" t="s">
        <v>77</v>
      </c>
      <c r="E166" s="40">
        <v>1</v>
      </c>
      <c r="F166" s="40">
        <v>8500</v>
      </c>
      <c r="G166" s="42">
        <f t="shared" si="2"/>
        <v>8500</v>
      </c>
      <c r="H166" s="40"/>
      <c r="I166" s="43" t="str">
        <f>IF(OR(B166="",C166=""),"",IF(COUNTIFS(재료목록!$A$2:$A$51,B166,재료목록!$B$2:$B$51,C166)&gt;0,"OK","불일치"))</f>
        <v>OK</v>
      </c>
    </row>
    <row r="167" spans="1:9" ht="17" customHeight="1" x14ac:dyDescent="0.35">
      <c r="A167" s="39">
        <v>45999</v>
      </c>
      <c r="B167" s="40" t="s">
        <v>22</v>
      </c>
      <c r="C167" s="40" t="s">
        <v>55</v>
      </c>
      <c r="D167" s="41" t="s">
        <v>77</v>
      </c>
      <c r="E167" s="40">
        <v>2</v>
      </c>
      <c r="F167" s="40">
        <v>8500</v>
      </c>
      <c r="G167" s="42">
        <f t="shared" si="2"/>
        <v>17000</v>
      </c>
      <c r="H167" s="40"/>
      <c r="I167" s="43" t="str">
        <f>IF(OR(B167="",C167=""),"",IF(COUNTIFS(재료목록!$A$2:$A$51,B167,재료목록!$B$2:$B$51,C167)&gt;0,"OK","불일치"))</f>
        <v>OK</v>
      </c>
    </row>
    <row r="168" spans="1:9" ht="17" customHeight="1" x14ac:dyDescent="0.35">
      <c r="A168" s="39">
        <v>46000</v>
      </c>
      <c r="B168" s="40" t="s">
        <v>11</v>
      </c>
      <c r="C168" s="40" t="s">
        <v>28</v>
      </c>
      <c r="D168" s="41" t="s">
        <v>78</v>
      </c>
      <c r="E168" s="40">
        <v>2</v>
      </c>
      <c r="F168" s="40">
        <v>48000</v>
      </c>
      <c r="G168" s="42">
        <f t="shared" si="2"/>
        <v>96000</v>
      </c>
      <c r="H168" s="40"/>
      <c r="I168" s="43" t="str">
        <f>IF(OR(B168="",C168=""),"",IF(COUNTIFS(재료목록!$A$2:$A$51,B168,재료목록!$B$2:$B$51,C168)&gt;0,"OK","불일치"))</f>
        <v>OK</v>
      </c>
    </row>
    <row r="169" spans="1:9" ht="17" customHeight="1" x14ac:dyDescent="0.35">
      <c r="A169" s="39">
        <v>46000</v>
      </c>
      <c r="B169" s="40" t="s">
        <v>11</v>
      </c>
      <c r="C169" s="44" t="s">
        <v>30</v>
      </c>
      <c r="D169" s="41" t="s">
        <v>78</v>
      </c>
      <c r="E169" s="40">
        <v>1</v>
      </c>
      <c r="F169" s="40">
        <v>-17000</v>
      </c>
      <c r="G169" s="42">
        <f t="shared" si="2"/>
        <v>-17000</v>
      </c>
      <c r="H169" s="40"/>
      <c r="I169" s="43" t="str">
        <f>IF(OR(B169="",C169=""),"",IF(COUNTIFS(재료목록!$A$2:$A$51,B169,재료목록!$B$2:$B$51,C169)&gt;0,"OK","불일치"))</f>
        <v>OK</v>
      </c>
    </row>
    <row r="170" spans="1:9" ht="17" customHeight="1" x14ac:dyDescent="0.35">
      <c r="A170" s="39">
        <v>46000</v>
      </c>
      <c r="B170" s="40" t="s">
        <v>11</v>
      </c>
      <c r="C170" s="40" t="s">
        <v>12</v>
      </c>
      <c r="D170" s="41" t="s">
        <v>92</v>
      </c>
      <c r="E170" s="40">
        <v>20</v>
      </c>
      <c r="F170" s="40">
        <v>6500</v>
      </c>
      <c r="G170" s="42">
        <f t="shared" si="2"/>
        <v>130000</v>
      </c>
      <c r="H170" s="40" t="s">
        <v>93</v>
      </c>
      <c r="I170" s="43" t="str">
        <f>IF(OR(B170="",C170=""),"",IF(COUNTIFS(재료목록!$A$2:$A$51,B170,재료목록!$B$2:$B$51,C170)&gt;0,"OK","불일치"))</f>
        <v>OK</v>
      </c>
    </row>
    <row r="171" spans="1:9" ht="17" customHeight="1" x14ac:dyDescent="0.35">
      <c r="A171" s="39">
        <v>46000</v>
      </c>
      <c r="B171" s="40" t="s">
        <v>11</v>
      </c>
      <c r="C171" s="40" t="s">
        <v>14</v>
      </c>
      <c r="D171" s="41" t="s">
        <v>92</v>
      </c>
      <c r="E171" s="40">
        <v>1</v>
      </c>
      <c r="F171" s="40">
        <v>8000</v>
      </c>
      <c r="G171" s="42">
        <f t="shared" si="2"/>
        <v>8000</v>
      </c>
      <c r="H171" s="40"/>
      <c r="I171" s="43" t="str">
        <f>IF(OR(B171="",C171=""),"",IF(COUNTIFS(재료목록!$A$2:$A$51,B171,재료목록!$B$2:$B$51,C171)&gt;0,"OK","불일치"))</f>
        <v>OK</v>
      </c>
    </row>
    <row r="172" spans="1:9" ht="17" customHeight="1" x14ac:dyDescent="0.35">
      <c r="A172" s="39">
        <v>46000</v>
      </c>
      <c r="B172" s="40" t="s">
        <v>22</v>
      </c>
      <c r="C172" s="40" t="s">
        <v>48</v>
      </c>
      <c r="D172" s="41" t="s">
        <v>77</v>
      </c>
      <c r="E172" s="40">
        <v>1</v>
      </c>
      <c r="F172" s="40">
        <v>13000</v>
      </c>
      <c r="G172" s="42">
        <f t="shared" si="2"/>
        <v>13000</v>
      </c>
      <c r="H172" s="40"/>
      <c r="I172" s="43" t="str">
        <f>IF(OR(B172="",C172=""),"",IF(COUNTIFS(재료목록!$A$2:$A$51,B172,재료목록!$B$2:$B$51,C172)&gt;0,"OK","불일치"))</f>
        <v>OK</v>
      </c>
    </row>
    <row r="173" spans="1:9" ht="17" customHeight="1" x14ac:dyDescent="0.35">
      <c r="A173" s="39">
        <v>46000</v>
      </c>
      <c r="B173" s="40" t="s">
        <v>22</v>
      </c>
      <c r="C173" s="40" t="s">
        <v>62</v>
      </c>
      <c r="D173" s="41" t="s">
        <v>77</v>
      </c>
      <c r="E173" s="40">
        <v>1</v>
      </c>
      <c r="F173" s="40">
        <v>8500</v>
      </c>
      <c r="G173" s="42">
        <f t="shared" si="2"/>
        <v>8500</v>
      </c>
      <c r="H173" s="40"/>
      <c r="I173" s="43" t="str">
        <f>IF(OR(B173="",C173=""),"",IF(COUNTIFS(재료목록!$A$2:$A$51,B173,재료목록!$B$2:$B$51,C173)&gt;0,"OK","불일치"))</f>
        <v>OK</v>
      </c>
    </row>
    <row r="174" spans="1:9" ht="17" customHeight="1" x14ac:dyDescent="0.35">
      <c r="A174" s="39">
        <v>46000</v>
      </c>
      <c r="B174" s="40" t="s">
        <v>22</v>
      </c>
      <c r="C174" s="40" t="s">
        <v>55</v>
      </c>
      <c r="D174" s="41" t="s">
        <v>77</v>
      </c>
      <c r="E174" s="40">
        <v>1</v>
      </c>
      <c r="F174" s="40">
        <v>8500</v>
      </c>
      <c r="G174" s="42">
        <f t="shared" si="2"/>
        <v>8500</v>
      </c>
      <c r="H174" s="40"/>
      <c r="I174" s="43" t="str">
        <f>IF(OR(B174="",C174=""),"",IF(COUNTIFS(재료목록!$A$2:$A$51,B174,재료목록!$B$2:$B$51,C174)&gt;0,"OK","불일치"))</f>
        <v>OK</v>
      </c>
    </row>
    <row r="175" spans="1:9" ht="17" customHeight="1" x14ac:dyDescent="0.35">
      <c r="A175" s="39">
        <v>46001</v>
      </c>
      <c r="B175" s="40" t="s">
        <v>22</v>
      </c>
      <c r="C175" s="40" t="s">
        <v>48</v>
      </c>
      <c r="D175" s="41" t="s">
        <v>77</v>
      </c>
      <c r="E175" s="40">
        <v>1</v>
      </c>
      <c r="F175" s="40">
        <v>13000</v>
      </c>
      <c r="G175" s="42">
        <f t="shared" si="2"/>
        <v>13000</v>
      </c>
      <c r="H175" s="40"/>
      <c r="I175" s="43" t="str">
        <f>IF(OR(B175="",C175=""),"",IF(COUNTIFS(재료목록!$A$2:$A$51,B175,재료목록!$B$2:$B$51,C175)&gt;0,"OK","불일치"))</f>
        <v>OK</v>
      </c>
    </row>
    <row r="176" spans="1:9" ht="17" customHeight="1" x14ac:dyDescent="0.35">
      <c r="A176" s="39">
        <v>46001</v>
      </c>
      <c r="B176" s="40" t="s">
        <v>22</v>
      </c>
      <c r="C176" s="40" t="s">
        <v>62</v>
      </c>
      <c r="D176" s="41" t="s">
        <v>77</v>
      </c>
      <c r="E176" s="40">
        <v>1</v>
      </c>
      <c r="F176" s="40">
        <v>8500</v>
      </c>
      <c r="G176" s="42">
        <f t="shared" si="2"/>
        <v>8500</v>
      </c>
      <c r="H176" s="40"/>
      <c r="I176" s="43" t="str">
        <f>IF(OR(B176="",C176=""),"",IF(COUNTIFS(재료목록!$A$2:$A$51,B176,재료목록!$B$2:$B$51,C176)&gt;0,"OK","불일치"))</f>
        <v>OK</v>
      </c>
    </row>
    <row r="177" spans="1:9" ht="17" customHeight="1" x14ac:dyDescent="0.35">
      <c r="A177" s="39">
        <v>46001</v>
      </c>
      <c r="B177" s="40" t="s">
        <v>22</v>
      </c>
      <c r="C177" s="40" t="s">
        <v>55</v>
      </c>
      <c r="D177" s="41" t="s">
        <v>77</v>
      </c>
      <c r="E177" s="40">
        <v>1</v>
      </c>
      <c r="F177" s="40">
        <v>8500</v>
      </c>
      <c r="G177" s="42">
        <f t="shared" si="2"/>
        <v>8500</v>
      </c>
      <c r="H177" s="40"/>
      <c r="I177" s="43" t="str">
        <f>IF(OR(B177="",C177=""),"",IF(COUNTIFS(재료목록!$A$2:$A$51,B177,재료목록!$B$2:$B$51,C177)&gt;0,"OK","불일치"))</f>
        <v>OK</v>
      </c>
    </row>
    <row r="178" spans="1:9" ht="17" customHeight="1" x14ac:dyDescent="0.35">
      <c r="A178" s="39">
        <v>46002</v>
      </c>
      <c r="B178" s="40" t="s">
        <v>22</v>
      </c>
      <c r="C178" s="40" t="s">
        <v>48</v>
      </c>
      <c r="D178" s="41" t="s">
        <v>77</v>
      </c>
      <c r="E178" s="40">
        <v>1</v>
      </c>
      <c r="F178" s="40">
        <v>13000</v>
      </c>
      <c r="G178" s="42">
        <f t="shared" si="2"/>
        <v>13000</v>
      </c>
      <c r="H178" s="40"/>
      <c r="I178" s="43" t="str">
        <f>IF(OR(B178="",C178=""),"",IF(COUNTIFS(재료목록!$A$2:$A$51,B178,재료목록!$B$2:$B$51,C178)&gt;0,"OK","불일치"))</f>
        <v>OK</v>
      </c>
    </row>
    <row r="179" spans="1:9" ht="17" customHeight="1" x14ac:dyDescent="0.35">
      <c r="A179" s="39">
        <v>46002</v>
      </c>
      <c r="B179" s="40" t="s">
        <v>22</v>
      </c>
      <c r="C179" s="40" t="s">
        <v>62</v>
      </c>
      <c r="D179" s="41" t="s">
        <v>77</v>
      </c>
      <c r="E179" s="40">
        <v>1</v>
      </c>
      <c r="F179" s="40">
        <v>8500</v>
      </c>
      <c r="G179" s="42">
        <f t="shared" si="2"/>
        <v>8500</v>
      </c>
      <c r="H179" s="40"/>
      <c r="I179" s="43" t="str">
        <f>IF(OR(B179="",C179=""),"",IF(COUNTIFS(재료목록!$A$2:$A$51,B179,재료목록!$B$2:$B$51,C179)&gt;0,"OK","불일치"))</f>
        <v>OK</v>
      </c>
    </row>
    <row r="180" spans="1:9" ht="17" customHeight="1" x14ac:dyDescent="0.35">
      <c r="A180" s="39">
        <v>46003</v>
      </c>
      <c r="B180" s="40" t="s">
        <v>22</v>
      </c>
      <c r="C180" s="40" t="s">
        <v>48</v>
      </c>
      <c r="D180" s="41" t="s">
        <v>77</v>
      </c>
      <c r="E180" s="40">
        <v>2</v>
      </c>
      <c r="F180" s="40">
        <v>13000</v>
      </c>
      <c r="G180" s="42">
        <f t="shared" si="2"/>
        <v>26000</v>
      </c>
      <c r="H180" s="40"/>
      <c r="I180" s="43" t="str">
        <f>IF(OR(B180="",C180=""),"",IF(COUNTIFS(재료목록!$A$2:$A$51,B180,재료목록!$B$2:$B$51,C180)&gt;0,"OK","불일치"))</f>
        <v>OK</v>
      </c>
    </row>
    <row r="181" spans="1:9" ht="17" customHeight="1" x14ac:dyDescent="0.35">
      <c r="A181" s="39">
        <v>46003</v>
      </c>
      <c r="B181" s="40" t="s">
        <v>22</v>
      </c>
      <c r="C181" s="40" t="s">
        <v>62</v>
      </c>
      <c r="D181" s="41" t="s">
        <v>77</v>
      </c>
      <c r="E181" s="40">
        <v>1</v>
      </c>
      <c r="F181" s="40">
        <v>8500</v>
      </c>
      <c r="G181" s="42">
        <f t="shared" si="2"/>
        <v>8500</v>
      </c>
      <c r="H181" s="40"/>
      <c r="I181" s="43" t="str">
        <f>IF(OR(B181="",C181=""),"",IF(COUNTIFS(재료목록!$A$2:$A$51,B181,재료목록!$B$2:$B$51,C181)&gt;0,"OK","불일치"))</f>
        <v>OK</v>
      </c>
    </row>
    <row r="182" spans="1:9" ht="17" customHeight="1" x14ac:dyDescent="0.35">
      <c r="A182" s="39">
        <v>46003</v>
      </c>
      <c r="B182" s="40" t="s">
        <v>22</v>
      </c>
      <c r="C182" s="40" t="s">
        <v>55</v>
      </c>
      <c r="D182" s="41" t="s">
        <v>77</v>
      </c>
      <c r="E182" s="40">
        <v>1</v>
      </c>
      <c r="F182" s="40">
        <v>8500</v>
      </c>
      <c r="G182" s="42">
        <f t="shared" si="2"/>
        <v>8500</v>
      </c>
      <c r="H182" s="40"/>
      <c r="I182" s="43" t="str">
        <f>IF(OR(B182="",C182=""),"",IF(COUNTIFS(재료목록!$A$2:$A$51,B182,재료목록!$B$2:$B$51,C182)&gt;0,"OK","불일치"))</f>
        <v>OK</v>
      </c>
    </row>
    <row r="183" spans="1:9" ht="17" customHeight="1" x14ac:dyDescent="0.35">
      <c r="A183" s="39">
        <v>46004</v>
      </c>
      <c r="B183" s="40" t="s">
        <v>22</v>
      </c>
      <c r="C183" s="40" t="s">
        <v>48</v>
      </c>
      <c r="D183" s="41" t="s">
        <v>77</v>
      </c>
      <c r="E183" s="40">
        <v>1</v>
      </c>
      <c r="F183" s="40">
        <v>13000</v>
      </c>
      <c r="G183" s="42">
        <f t="shared" si="2"/>
        <v>13000</v>
      </c>
      <c r="H183" s="40"/>
      <c r="I183" s="43" t="str">
        <f>IF(OR(B183="",C183=""),"",IF(COUNTIFS(재료목록!$A$2:$A$51,B183,재료목록!$B$2:$B$51,C183)&gt;0,"OK","불일치"))</f>
        <v>OK</v>
      </c>
    </row>
    <row r="184" spans="1:9" ht="17" customHeight="1" x14ac:dyDescent="0.35">
      <c r="A184" s="39">
        <v>46004</v>
      </c>
      <c r="B184" s="40" t="s">
        <v>22</v>
      </c>
      <c r="C184" s="40" t="s">
        <v>62</v>
      </c>
      <c r="D184" s="41" t="s">
        <v>77</v>
      </c>
      <c r="E184" s="40">
        <v>1</v>
      </c>
      <c r="F184" s="40">
        <v>8500</v>
      </c>
      <c r="G184" s="42">
        <f t="shared" si="2"/>
        <v>8500</v>
      </c>
      <c r="H184" s="40"/>
      <c r="I184" s="43" t="str">
        <f>IF(OR(B184="",C184=""),"",IF(COUNTIFS(재료목록!$A$2:$A$51,B184,재료목록!$B$2:$B$51,C184)&gt;0,"OK","불일치"))</f>
        <v>OK</v>
      </c>
    </row>
    <row r="185" spans="1:9" ht="17" customHeight="1" x14ac:dyDescent="0.35">
      <c r="A185" s="39">
        <v>46004</v>
      </c>
      <c r="B185" s="40" t="s">
        <v>22</v>
      </c>
      <c r="C185" s="40" t="s">
        <v>55</v>
      </c>
      <c r="D185" s="41" t="s">
        <v>77</v>
      </c>
      <c r="E185" s="40">
        <v>1</v>
      </c>
      <c r="F185" s="40">
        <v>8500</v>
      </c>
      <c r="G185" s="42">
        <f t="shared" si="2"/>
        <v>8500</v>
      </c>
      <c r="H185" s="40"/>
      <c r="I185" s="43" t="str">
        <f>IF(OR(B185="",C185=""),"",IF(COUNTIFS(재료목록!$A$2:$A$51,B185,재료목록!$B$2:$B$51,C185)&gt;0,"OK","불일치"))</f>
        <v>OK</v>
      </c>
    </row>
    <row r="186" spans="1:9" ht="17" customHeight="1" x14ac:dyDescent="0.35">
      <c r="A186" s="39">
        <v>46006</v>
      </c>
      <c r="B186" s="40" t="s">
        <v>11</v>
      </c>
      <c r="C186" s="40" t="s">
        <v>17</v>
      </c>
      <c r="D186" s="41" t="s">
        <v>96</v>
      </c>
      <c r="E186" s="40">
        <v>4</v>
      </c>
      <c r="F186" s="40">
        <v>10500</v>
      </c>
      <c r="G186" s="42">
        <f t="shared" si="2"/>
        <v>42000</v>
      </c>
      <c r="H186" s="40"/>
      <c r="I186" s="43" t="str">
        <f>IF(OR(B186="",C186=""),"",IF(COUNTIFS(재료목록!$A$2:$A$51,B186,재료목록!$B$2:$B$51,C186)&gt;0,"OK","불일치"))</f>
        <v>OK</v>
      </c>
    </row>
    <row r="187" spans="1:9" ht="17" customHeight="1" x14ac:dyDescent="0.35">
      <c r="A187" s="39">
        <v>46006</v>
      </c>
      <c r="B187" s="40" t="s">
        <v>22</v>
      </c>
      <c r="C187" s="40" t="s">
        <v>48</v>
      </c>
      <c r="D187" s="41" t="s">
        <v>77</v>
      </c>
      <c r="E187" s="40">
        <v>1</v>
      </c>
      <c r="F187" s="40">
        <v>13000</v>
      </c>
      <c r="G187" s="42">
        <f t="shared" si="2"/>
        <v>13000</v>
      </c>
      <c r="H187" s="40"/>
      <c r="I187" s="43" t="str">
        <f>IF(OR(B187="",C187=""),"",IF(COUNTIFS(재료목록!$A$2:$A$51,B187,재료목록!$B$2:$B$51,C187)&gt;0,"OK","불일치"))</f>
        <v>OK</v>
      </c>
    </row>
    <row r="188" spans="1:9" ht="17" customHeight="1" x14ac:dyDescent="0.35">
      <c r="A188" s="39">
        <v>46006</v>
      </c>
      <c r="B188" s="40" t="s">
        <v>22</v>
      </c>
      <c r="C188" s="40" t="s">
        <v>62</v>
      </c>
      <c r="D188" s="41" t="s">
        <v>77</v>
      </c>
      <c r="E188" s="40">
        <v>1</v>
      </c>
      <c r="F188" s="40">
        <v>8500</v>
      </c>
      <c r="G188" s="42">
        <f t="shared" si="2"/>
        <v>8500</v>
      </c>
      <c r="H188" s="40"/>
      <c r="I188" s="43" t="str">
        <f>IF(OR(B188="",C188=""),"",IF(COUNTIFS(재료목록!$A$2:$A$51,B188,재료목록!$B$2:$B$51,C188)&gt;0,"OK","불일치"))</f>
        <v>OK</v>
      </c>
    </row>
    <row r="189" spans="1:9" ht="17" customHeight="1" x14ac:dyDescent="0.35">
      <c r="A189" s="39">
        <v>46006</v>
      </c>
      <c r="B189" s="40" t="s">
        <v>22</v>
      </c>
      <c r="C189" s="40" t="s">
        <v>55</v>
      </c>
      <c r="D189" s="41" t="s">
        <v>77</v>
      </c>
      <c r="E189" s="40">
        <v>1</v>
      </c>
      <c r="F189" s="40">
        <v>8500</v>
      </c>
      <c r="G189" s="42">
        <f t="shared" si="2"/>
        <v>8500</v>
      </c>
      <c r="H189" s="40"/>
      <c r="I189" s="43" t="str">
        <f>IF(OR(B189="",C189=""),"",IF(COUNTIFS(재료목록!$A$2:$A$51,B189,재료목록!$B$2:$B$51,C189)&gt;0,"OK","불일치"))</f>
        <v>OK</v>
      </c>
    </row>
    <row r="190" spans="1:9" ht="17" customHeight="1" x14ac:dyDescent="0.35">
      <c r="A190" s="39">
        <v>46007</v>
      </c>
      <c r="B190" s="40" t="s">
        <v>11</v>
      </c>
      <c r="C190" s="40" t="s">
        <v>12</v>
      </c>
      <c r="D190" s="41" t="s">
        <v>92</v>
      </c>
      <c r="E190" s="40">
        <v>20</v>
      </c>
      <c r="F190" s="40">
        <v>6500</v>
      </c>
      <c r="G190" s="42">
        <f t="shared" si="2"/>
        <v>130000</v>
      </c>
      <c r="H190" s="40" t="s">
        <v>93</v>
      </c>
      <c r="I190" s="43" t="str">
        <f>IF(OR(B190="",C190=""),"",IF(COUNTIFS(재료목록!$A$2:$A$51,B190,재료목록!$B$2:$B$51,C190)&gt;0,"OK","불일치"))</f>
        <v>OK</v>
      </c>
    </row>
    <row r="191" spans="1:9" ht="17" customHeight="1" x14ac:dyDescent="0.35">
      <c r="A191" s="39">
        <v>46007</v>
      </c>
      <c r="B191" s="40" t="s">
        <v>11</v>
      </c>
      <c r="C191" s="40" t="s">
        <v>14</v>
      </c>
      <c r="D191" s="41" t="s">
        <v>92</v>
      </c>
      <c r="E191" s="40">
        <v>1</v>
      </c>
      <c r="F191" s="40">
        <v>8000</v>
      </c>
      <c r="G191" s="42">
        <f t="shared" si="2"/>
        <v>8000</v>
      </c>
      <c r="H191" s="40"/>
      <c r="I191" s="43" t="str">
        <f>IF(OR(B191="",C191=""),"",IF(COUNTIFS(재료목록!$A$2:$A$51,B191,재료목록!$B$2:$B$51,C191)&gt;0,"OK","불일치"))</f>
        <v>OK</v>
      </c>
    </row>
    <row r="192" spans="1:9" ht="17" customHeight="1" x14ac:dyDescent="0.35">
      <c r="A192" s="39">
        <v>46007</v>
      </c>
      <c r="B192" s="40" t="s">
        <v>19</v>
      </c>
      <c r="C192" s="40" t="s">
        <v>49</v>
      </c>
      <c r="D192" s="41" t="s">
        <v>85</v>
      </c>
      <c r="E192" s="40">
        <v>20</v>
      </c>
      <c r="F192" s="40">
        <v>4700</v>
      </c>
      <c r="G192" s="42">
        <f t="shared" si="2"/>
        <v>94000</v>
      </c>
      <c r="H192" s="40" t="s">
        <v>90</v>
      </c>
      <c r="I192" s="43" t="str">
        <f>IF(OR(B192="",C192=""),"",IF(COUNTIFS(재료목록!$A$2:$A$51,B192,재료목록!$B$2:$B$51,C192)&gt;0,"OK","불일치"))</f>
        <v>OK</v>
      </c>
    </row>
    <row r="193" spans="1:9" ht="17" customHeight="1" x14ac:dyDescent="0.35">
      <c r="A193" s="39">
        <v>46007</v>
      </c>
      <c r="B193" s="40" t="s">
        <v>19</v>
      </c>
      <c r="C193" s="40" t="s">
        <v>24</v>
      </c>
      <c r="D193" s="41" t="s">
        <v>85</v>
      </c>
      <c r="E193" s="40">
        <v>10</v>
      </c>
      <c r="F193" s="40">
        <v>2800</v>
      </c>
      <c r="G193" s="42">
        <f t="shared" si="2"/>
        <v>28000</v>
      </c>
      <c r="H193" s="40" t="s">
        <v>97</v>
      </c>
      <c r="I193" s="43" t="str">
        <f>IF(OR(B193="",C193=""),"",IF(COUNTIFS(재료목록!$A$2:$A$51,B193,재료목록!$B$2:$B$51,C193)&gt;0,"OK","불일치"))</f>
        <v>OK</v>
      </c>
    </row>
    <row r="194" spans="1:9" ht="17" customHeight="1" x14ac:dyDescent="0.35">
      <c r="A194" s="39">
        <v>46007</v>
      </c>
      <c r="B194" s="40" t="s">
        <v>19</v>
      </c>
      <c r="C194" s="40" t="s">
        <v>50</v>
      </c>
      <c r="D194" s="41" t="s">
        <v>85</v>
      </c>
      <c r="E194" s="40">
        <v>2</v>
      </c>
      <c r="F194" s="40">
        <v>4000</v>
      </c>
      <c r="G194" s="42">
        <f t="shared" ref="G194:G257" si="3">IF(OR(E194="",F194=""),"",E194*F194)</f>
        <v>8000</v>
      </c>
      <c r="H194" s="45" t="s">
        <v>91</v>
      </c>
      <c r="I194" s="43" t="str">
        <f>IF(OR(B194="",C194=""),"",IF(COUNTIFS(재료목록!$A$2:$A$51,B194,재료목록!$B$2:$B$51,C194)&gt;0,"OK","불일치"))</f>
        <v>OK</v>
      </c>
    </row>
    <row r="195" spans="1:9" ht="17" customHeight="1" x14ac:dyDescent="0.35">
      <c r="A195" s="39">
        <v>46008</v>
      </c>
      <c r="B195" s="40" t="s">
        <v>22</v>
      </c>
      <c r="C195" s="40" t="s">
        <v>48</v>
      </c>
      <c r="D195" s="41" t="s">
        <v>77</v>
      </c>
      <c r="E195" s="40">
        <v>1</v>
      </c>
      <c r="F195" s="40">
        <v>13000</v>
      </c>
      <c r="G195" s="42">
        <f t="shared" si="3"/>
        <v>13000</v>
      </c>
      <c r="H195" s="40"/>
      <c r="I195" s="43" t="str">
        <f>IF(OR(B195="",C195=""),"",IF(COUNTIFS(재료목록!$A$2:$A$51,B195,재료목록!$B$2:$B$51,C195)&gt;0,"OK","불일치"))</f>
        <v>OK</v>
      </c>
    </row>
    <row r="196" spans="1:9" ht="17" customHeight="1" x14ac:dyDescent="0.35">
      <c r="A196" s="39">
        <v>46008</v>
      </c>
      <c r="B196" s="40" t="s">
        <v>22</v>
      </c>
      <c r="C196" s="40" t="s">
        <v>55</v>
      </c>
      <c r="D196" s="41" t="s">
        <v>77</v>
      </c>
      <c r="E196" s="40">
        <v>1</v>
      </c>
      <c r="F196" s="40">
        <v>8500</v>
      </c>
      <c r="G196" s="42">
        <f t="shared" si="3"/>
        <v>8500</v>
      </c>
      <c r="H196" s="40"/>
      <c r="I196" s="43" t="str">
        <f>IF(OR(B196="",C196=""),"",IF(COUNTIFS(재료목록!$A$2:$A$51,B196,재료목록!$B$2:$B$51,C196)&gt;0,"OK","불일치"))</f>
        <v>OK</v>
      </c>
    </row>
    <row r="197" spans="1:9" ht="17" customHeight="1" x14ac:dyDescent="0.35">
      <c r="A197" s="39">
        <v>46010</v>
      </c>
      <c r="B197" s="40" t="s">
        <v>16</v>
      </c>
      <c r="C197" s="40" t="s">
        <v>47</v>
      </c>
      <c r="D197" s="41" t="s">
        <v>76</v>
      </c>
      <c r="E197" s="40">
        <v>2</v>
      </c>
      <c r="F197" s="40">
        <v>8000</v>
      </c>
      <c r="G197" s="42">
        <f t="shared" si="3"/>
        <v>16000</v>
      </c>
      <c r="H197" s="40"/>
      <c r="I197" s="43" t="str">
        <f>IF(OR(B197="",C197=""),"",IF(COUNTIFS(재료목록!$A$2:$A$51,B197,재료목록!$B$2:$B$51,C197)&gt;0,"OK","불일치"))</f>
        <v>OK</v>
      </c>
    </row>
    <row r="198" spans="1:9" ht="17" customHeight="1" x14ac:dyDescent="0.35">
      <c r="A198" s="39">
        <v>46010</v>
      </c>
      <c r="B198" s="40" t="s">
        <v>11</v>
      </c>
      <c r="C198" s="40" t="s">
        <v>26</v>
      </c>
      <c r="D198" s="41" t="s">
        <v>76</v>
      </c>
      <c r="E198" s="40">
        <v>1</v>
      </c>
      <c r="F198" s="40">
        <v>8000</v>
      </c>
      <c r="G198" s="42">
        <f t="shared" si="3"/>
        <v>8000</v>
      </c>
      <c r="H198" s="40"/>
      <c r="I198" s="43" t="str">
        <f>IF(OR(B198="",C198=""),"",IF(COUNTIFS(재료목록!$A$2:$A$51,B198,재료목록!$B$2:$B$51,C198)&gt;0,"OK","불일치"))</f>
        <v>OK</v>
      </c>
    </row>
    <row r="199" spans="1:9" ht="17" customHeight="1" x14ac:dyDescent="0.35">
      <c r="A199" s="39">
        <v>46010</v>
      </c>
      <c r="B199" s="40" t="s">
        <v>22</v>
      </c>
      <c r="C199" s="40" t="s">
        <v>48</v>
      </c>
      <c r="D199" s="41" t="s">
        <v>77</v>
      </c>
      <c r="E199" s="40">
        <v>2</v>
      </c>
      <c r="F199" s="40">
        <v>13000</v>
      </c>
      <c r="G199" s="42">
        <f t="shared" si="3"/>
        <v>26000</v>
      </c>
      <c r="H199" s="40"/>
      <c r="I199" s="43" t="str">
        <f>IF(OR(B199="",C199=""),"",IF(COUNTIFS(재료목록!$A$2:$A$51,B199,재료목록!$B$2:$B$51,C199)&gt;0,"OK","불일치"))</f>
        <v>OK</v>
      </c>
    </row>
    <row r="200" spans="1:9" ht="17" customHeight="1" x14ac:dyDescent="0.35">
      <c r="A200" s="39">
        <v>46010</v>
      </c>
      <c r="B200" s="40" t="s">
        <v>22</v>
      </c>
      <c r="C200" s="40" t="s">
        <v>62</v>
      </c>
      <c r="D200" s="41" t="s">
        <v>77</v>
      </c>
      <c r="E200" s="40">
        <v>1</v>
      </c>
      <c r="F200" s="40">
        <v>8500</v>
      </c>
      <c r="G200" s="42">
        <f t="shared" si="3"/>
        <v>8500</v>
      </c>
      <c r="H200" s="40"/>
      <c r="I200" s="43" t="str">
        <f>IF(OR(B200="",C200=""),"",IF(COUNTIFS(재료목록!$A$2:$A$51,B200,재료목록!$B$2:$B$51,C200)&gt;0,"OK","불일치"))</f>
        <v>OK</v>
      </c>
    </row>
    <row r="201" spans="1:9" ht="17" customHeight="1" x14ac:dyDescent="0.35">
      <c r="A201" s="39">
        <v>46010</v>
      </c>
      <c r="B201" s="40" t="s">
        <v>22</v>
      </c>
      <c r="C201" s="40" t="s">
        <v>55</v>
      </c>
      <c r="D201" s="41" t="s">
        <v>77</v>
      </c>
      <c r="E201" s="40">
        <v>2</v>
      </c>
      <c r="F201" s="40">
        <v>8500</v>
      </c>
      <c r="G201" s="42">
        <f t="shared" si="3"/>
        <v>17000</v>
      </c>
      <c r="H201" s="40"/>
      <c r="I201" s="43" t="str">
        <f>IF(OR(B201="",C201=""),"",IF(COUNTIFS(재료목록!$A$2:$A$51,B201,재료목록!$B$2:$B$51,C201)&gt;0,"OK","불일치"))</f>
        <v>OK</v>
      </c>
    </row>
    <row r="202" spans="1:9" ht="17" customHeight="1" x14ac:dyDescent="0.35">
      <c r="A202" s="39">
        <v>46011</v>
      </c>
      <c r="B202" s="40" t="s">
        <v>22</v>
      </c>
      <c r="C202" s="40" t="s">
        <v>48</v>
      </c>
      <c r="D202" s="41" t="s">
        <v>77</v>
      </c>
      <c r="E202" s="40">
        <v>1</v>
      </c>
      <c r="F202" s="40">
        <v>13000</v>
      </c>
      <c r="G202" s="42">
        <f t="shared" si="3"/>
        <v>13000</v>
      </c>
      <c r="H202" s="40"/>
      <c r="I202" s="43" t="str">
        <f>IF(OR(B202="",C202=""),"",IF(COUNTIFS(재료목록!$A$2:$A$51,B202,재료목록!$B$2:$B$51,C202)&gt;0,"OK","불일치"))</f>
        <v>OK</v>
      </c>
    </row>
    <row r="203" spans="1:9" ht="17" customHeight="1" x14ac:dyDescent="0.35">
      <c r="A203" s="39">
        <v>46011</v>
      </c>
      <c r="B203" s="40" t="s">
        <v>22</v>
      </c>
      <c r="C203" s="40" t="s">
        <v>62</v>
      </c>
      <c r="D203" s="41" t="s">
        <v>77</v>
      </c>
      <c r="E203" s="40">
        <v>1</v>
      </c>
      <c r="F203" s="40">
        <v>8500</v>
      </c>
      <c r="G203" s="42">
        <f t="shared" si="3"/>
        <v>8500</v>
      </c>
      <c r="H203" s="40"/>
      <c r="I203" s="43" t="str">
        <f>IF(OR(B203="",C203=""),"",IF(COUNTIFS(재료목록!$A$2:$A$51,B203,재료목록!$B$2:$B$51,C203)&gt;0,"OK","불일치"))</f>
        <v>OK</v>
      </c>
    </row>
    <row r="204" spans="1:9" ht="17" customHeight="1" x14ac:dyDescent="0.35">
      <c r="A204" s="39">
        <v>46011</v>
      </c>
      <c r="B204" s="40" t="s">
        <v>22</v>
      </c>
      <c r="C204" s="40" t="s">
        <v>55</v>
      </c>
      <c r="D204" s="41" t="s">
        <v>77</v>
      </c>
      <c r="E204" s="40">
        <v>1</v>
      </c>
      <c r="F204" s="40">
        <v>8500</v>
      </c>
      <c r="G204" s="42">
        <f t="shared" si="3"/>
        <v>8500</v>
      </c>
      <c r="H204" s="40"/>
      <c r="I204" s="43" t="str">
        <f>IF(OR(B204="",C204=""),"",IF(COUNTIFS(재료목록!$A$2:$A$51,B204,재료목록!$B$2:$B$51,C204)&gt;0,"OK","불일치"))</f>
        <v>OK</v>
      </c>
    </row>
    <row r="205" spans="1:9" ht="17" customHeight="1" x14ac:dyDescent="0.35">
      <c r="A205" s="39">
        <v>46013</v>
      </c>
      <c r="B205" s="40" t="s">
        <v>22</v>
      </c>
      <c r="C205" s="40" t="s">
        <v>48</v>
      </c>
      <c r="D205" s="41" t="s">
        <v>77</v>
      </c>
      <c r="E205" s="40">
        <v>1</v>
      </c>
      <c r="F205" s="40">
        <v>13000</v>
      </c>
      <c r="G205" s="42">
        <f t="shared" si="3"/>
        <v>13000</v>
      </c>
      <c r="H205" s="40"/>
      <c r="I205" s="43" t="str">
        <f>IF(OR(B205="",C205=""),"",IF(COUNTIFS(재료목록!$A$2:$A$51,B205,재료목록!$B$2:$B$51,C205)&gt;0,"OK","불일치"))</f>
        <v>OK</v>
      </c>
    </row>
    <row r="206" spans="1:9" ht="17" customHeight="1" x14ac:dyDescent="0.35">
      <c r="A206" s="39">
        <v>46013</v>
      </c>
      <c r="B206" s="40" t="s">
        <v>22</v>
      </c>
      <c r="C206" s="40" t="s">
        <v>62</v>
      </c>
      <c r="D206" s="41" t="s">
        <v>77</v>
      </c>
      <c r="E206" s="40">
        <v>1</v>
      </c>
      <c r="F206" s="40">
        <v>8500</v>
      </c>
      <c r="G206" s="42">
        <f t="shared" si="3"/>
        <v>8500</v>
      </c>
      <c r="H206" s="40"/>
      <c r="I206" s="43" t="str">
        <f>IF(OR(B206="",C206=""),"",IF(COUNTIFS(재료목록!$A$2:$A$51,B206,재료목록!$B$2:$B$51,C206)&gt;0,"OK","불일치"))</f>
        <v>OK</v>
      </c>
    </row>
    <row r="207" spans="1:9" ht="17" customHeight="1" x14ac:dyDescent="0.35">
      <c r="A207" s="39">
        <v>46013</v>
      </c>
      <c r="B207" s="40" t="s">
        <v>22</v>
      </c>
      <c r="C207" s="40" t="s">
        <v>55</v>
      </c>
      <c r="D207" s="41" t="s">
        <v>77</v>
      </c>
      <c r="E207" s="40">
        <v>1</v>
      </c>
      <c r="F207" s="40">
        <v>8500</v>
      </c>
      <c r="G207" s="42">
        <f t="shared" si="3"/>
        <v>8500</v>
      </c>
      <c r="H207" s="40"/>
      <c r="I207" s="43" t="str">
        <f>IF(OR(B207="",C207=""),"",IF(COUNTIFS(재료목록!$A$2:$A$51,B207,재료목록!$B$2:$B$51,C207)&gt;0,"OK","불일치"))</f>
        <v>OK</v>
      </c>
    </row>
    <row r="208" spans="1:9" ht="17" customHeight="1" x14ac:dyDescent="0.35">
      <c r="A208" s="39">
        <v>46014</v>
      </c>
      <c r="B208" s="40" t="s">
        <v>11</v>
      </c>
      <c r="C208" s="40" t="s">
        <v>12</v>
      </c>
      <c r="D208" s="41" t="s">
        <v>92</v>
      </c>
      <c r="E208" s="40">
        <v>20</v>
      </c>
      <c r="F208" s="40">
        <v>6500</v>
      </c>
      <c r="G208" s="42">
        <f t="shared" si="3"/>
        <v>130000</v>
      </c>
      <c r="H208" s="40" t="s">
        <v>93</v>
      </c>
      <c r="I208" s="43" t="str">
        <f>IF(OR(B208="",C208=""),"",IF(COUNTIFS(재료목록!$A$2:$A$51,B208,재료목록!$B$2:$B$51,C208)&gt;0,"OK","불일치"))</f>
        <v>OK</v>
      </c>
    </row>
    <row r="209" spans="1:9" ht="17" customHeight="1" x14ac:dyDescent="0.35">
      <c r="A209" s="39">
        <v>46014</v>
      </c>
      <c r="B209" s="40" t="s">
        <v>11</v>
      </c>
      <c r="C209" s="40" t="s">
        <v>14</v>
      </c>
      <c r="D209" s="41" t="s">
        <v>92</v>
      </c>
      <c r="E209" s="40">
        <v>1</v>
      </c>
      <c r="F209" s="40">
        <v>8000</v>
      </c>
      <c r="G209" s="42">
        <f t="shared" si="3"/>
        <v>8000</v>
      </c>
      <c r="H209" s="40"/>
      <c r="I209" s="43" t="str">
        <f>IF(OR(B209="",C209=""),"",IF(COUNTIFS(재료목록!$A$2:$A$51,B209,재료목록!$B$2:$B$51,C209)&gt;0,"OK","불일치"))</f>
        <v>OK</v>
      </c>
    </row>
    <row r="210" spans="1:9" ht="17" customHeight="1" x14ac:dyDescent="0.35">
      <c r="A210" s="39">
        <v>46014</v>
      </c>
      <c r="B210" s="40" t="s">
        <v>22</v>
      </c>
      <c r="C210" s="40" t="s">
        <v>48</v>
      </c>
      <c r="D210" s="41" t="s">
        <v>77</v>
      </c>
      <c r="E210" s="40">
        <v>1</v>
      </c>
      <c r="F210" s="40">
        <v>13000</v>
      </c>
      <c r="G210" s="42">
        <f t="shared" si="3"/>
        <v>13000</v>
      </c>
      <c r="H210" s="40"/>
      <c r="I210" s="43" t="str">
        <f>IF(OR(B210="",C210=""),"",IF(COUNTIFS(재료목록!$A$2:$A$51,B210,재료목록!$B$2:$B$51,C210)&gt;0,"OK","불일치"))</f>
        <v>OK</v>
      </c>
    </row>
    <row r="211" spans="1:9" ht="17" customHeight="1" x14ac:dyDescent="0.35">
      <c r="A211" s="39">
        <v>46014</v>
      </c>
      <c r="B211" s="40" t="s">
        <v>22</v>
      </c>
      <c r="C211" s="40" t="s">
        <v>62</v>
      </c>
      <c r="D211" s="41" t="s">
        <v>77</v>
      </c>
      <c r="E211" s="40">
        <v>1</v>
      </c>
      <c r="F211" s="40">
        <v>8500</v>
      </c>
      <c r="G211" s="42">
        <f t="shared" si="3"/>
        <v>8500</v>
      </c>
      <c r="H211" s="40"/>
      <c r="I211" s="43" t="str">
        <f>IF(OR(B211="",C211=""),"",IF(COUNTIFS(재료목록!$A$2:$A$51,B211,재료목록!$B$2:$B$51,C211)&gt;0,"OK","불일치"))</f>
        <v>OK</v>
      </c>
    </row>
    <row r="212" spans="1:9" ht="17" customHeight="1" x14ac:dyDescent="0.35">
      <c r="A212" s="39">
        <v>46014</v>
      </c>
      <c r="B212" s="40" t="s">
        <v>22</v>
      </c>
      <c r="C212" s="40" t="s">
        <v>55</v>
      </c>
      <c r="D212" s="41" t="s">
        <v>77</v>
      </c>
      <c r="E212" s="40">
        <v>2</v>
      </c>
      <c r="F212" s="40">
        <v>8500</v>
      </c>
      <c r="G212" s="42">
        <f t="shared" si="3"/>
        <v>17000</v>
      </c>
      <c r="H212" s="40"/>
      <c r="I212" s="43" t="str">
        <f>IF(OR(B212="",C212=""),"",IF(COUNTIFS(재료목록!$A$2:$A$51,B212,재료목록!$B$2:$B$51,C212)&gt;0,"OK","불일치"))</f>
        <v>OK</v>
      </c>
    </row>
    <row r="213" spans="1:9" ht="17" customHeight="1" x14ac:dyDescent="0.35">
      <c r="A213" s="39">
        <v>46016</v>
      </c>
      <c r="B213" s="40" t="s">
        <v>19</v>
      </c>
      <c r="C213" s="40" t="s">
        <v>58</v>
      </c>
      <c r="D213" s="41" t="s">
        <v>82</v>
      </c>
      <c r="E213" s="40">
        <v>20</v>
      </c>
      <c r="F213" s="40">
        <v>3200</v>
      </c>
      <c r="G213" s="42">
        <f t="shared" si="3"/>
        <v>64000</v>
      </c>
      <c r="H213" s="40" t="s">
        <v>83</v>
      </c>
      <c r="I213" s="43" t="str">
        <f>IF(OR(B213="",C213=""),"",IF(COUNTIFS(재료목록!$A$2:$A$51,B213,재료목록!$B$2:$B$51,C213)&gt;0,"OK","불일치"))</f>
        <v>OK</v>
      </c>
    </row>
    <row r="214" spans="1:9" ht="17" customHeight="1" x14ac:dyDescent="0.35">
      <c r="A214" s="39">
        <v>46017</v>
      </c>
      <c r="B214" s="40" t="s">
        <v>22</v>
      </c>
      <c r="C214" s="40" t="s">
        <v>41</v>
      </c>
      <c r="D214" s="41" t="s">
        <v>98</v>
      </c>
      <c r="E214" s="40">
        <v>1</v>
      </c>
      <c r="F214" s="40">
        <v>26490</v>
      </c>
      <c r="G214" s="42">
        <f t="shared" si="3"/>
        <v>26490</v>
      </c>
      <c r="H214" s="40"/>
      <c r="I214" s="43" t="str">
        <f>IF(OR(B214="",C214=""),"",IF(COUNTIFS(재료목록!$A$2:$A$51,B214,재료목록!$B$2:$B$51,C214)&gt;0,"OK","불일치"))</f>
        <v>OK</v>
      </c>
    </row>
    <row r="215" spans="1:9" ht="17" customHeight="1" x14ac:dyDescent="0.35">
      <c r="A215" s="39">
        <v>46017</v>
      </c>
      <c r="B215" s="40" t="s">
        <v>22</v>
      </c>
      <c r="C215" s="40" t="s">
        <v>48</v>
      </c>
      <c r="D215" s="41" t="s">
        <v>77</v>
      </c>
      <c r="E215" s="40">
        <v>2</v>
      </c>
      <c r="F215" s="40">
        <v>13000</v>
      </c>
      <c r="G215" s="42">
        <f t="shared" si="3"/>
        <v>26000</v>
      </c>
      <c r="H215" s="40"/>
      <c r="I215" s="43" t="str">
        <f>IF(OR(B215="",C215=""),"",IF(COUNTIFS(재료목록!$A$2:$A$51,B215,재료목록!$B$2:$B$51,C215)&gt;0,"OK","불일치"))</f>
        <v>OK</v>
      </c>
    </row>
    <row r="216" spans="1:9" ht="17" customHeight="1" x14ac:dyDescent="0.35">
      <c r="A216" s="39">
        <v>46017</v>
      </c>
      <c r="B216" s="40" t="s">
        <v>22</v>
      </c>
      <c r="C216" s="40" t="s">
        <v>62</v>
      </c>
      <c r="D216" s="41" t="s">
        <v>77</v>
      </c>
      <c r="E216" s="40">
        <v>1</v>
      </c>
      <c r="F216" s="40">
        <v>8500</v>
      </c>
      <c r="G216" s="42">
        <f t="shared" si="3"/>
        <v>8500</v>
      </c>
      <c r="H216" s="40"/>
      <c r="I216" s="43" t="str">
        <f>IF(OR(B216="",C216=""),"",IF(COUNTIFS(재료목록!$A$2:$A$51,B216,재료목록!$B$2:$B$51,C216)&gt;0,"OK","불일치"))</f>
        <v>OK</v>
      </c>
    </row>
    <row r="217" spans="1:9" ht="17" customHeight="1" x14ac:dyDescent="0.35">
      <c r="A217" s="39">
        <v>46017</v>
      </c>
      <c r="B217" s="40" t="s">
        <v>22</v>
      </c>
      <c r="C217" s="40" t="s">
        <v>55</v>
      </c>
      <c r="D217" s="41" t="s">
        <v>77</v>
      </c>
      <c r="E217" s="40">
        <v>1</v>
      </c>
      <c r="F217" s="40">
        <v>8500</v>
      </c>
      <c r="G217" s="42">
        <f t="shared" si="3"/>
        <v>8500</v>
      </c>
      <c r="H217" s="40"/>
      <c r="I217" s="43" t="str">
        <f>IF(OR(B217="",C217=""),"",IF(COUNTIFS(재료목록!$A$2:$A$51,B217,재료목록!$B$2:$B$51,C217)&gt;0,"OK","불일치"))</f>
        <v>OK</v>
      </c>
    </row>
    <row r="218" spans="1:9" ht="17" customHeight="1" x14ac:dyDescent="0.35">
      <c r="A218" s="39">
        <v>46018</v>
      </c>
      <c r="B218" s="40" t="s">
        <v>22</v>
      </c>
      <c r="C218" s="40" t="s">
        <v>48</v>
      </c>
      <c r="D218" s="41" t="s">
        <v>77</v>
      </c>
      <c r="E218" s="40">
        <v>2</v>
      </c>
      <c r="F218" s="40">
        <v>13000</v>
      </c>
      <c r="G218" s="42">
        <f t="shared" si="3"/>
        <v>26000</v>
      </c>
      <c r="H218" s="40"/>
      <c r="I218" s="43" t="str">
        <f>IF(OR(B218="",C218=""),"",IF(COUNTIFS(재료목록!$A$2:$A$51,B218,재료목록!$B$2:$B$51,C218)&gt;0,"OK","불일치"))</f>
        <v>OK</v>
      </c>
    </row>
    <row r="219" spans="1:9" ht="17" customHeight="1" x14ac:dyDescent="0.35">
      <c r="A219" s="39">
        <v>46018</v>
      </c>
      <c r="B219" s="40" t="s">
        <v>22</v>
      </c>
      <c r="C219" s="40" t="s">
        <v>62</v>
      </c>
      <c r="D219" s="41" t="s">
        <v>77</v>
      </c>
      <c r="E219" s="40">
        <v>1</v>
      </c>
      <c r="F219" s="40">
        <v>8500</v>
      </c>
      <c r="G219" s="42">
        <f t="shared" si="3"/>
        <v>8500</v>
      </c>
      <c r="H219" s="40"/>
      <c r="I219" s="43" t="str">
        <f>IF(OR(B219="",C219=""),"",IF(COUNTIFS(재료목록!$A$2:$A$51,B219,재료목록!$B$2:$B$51,C219)&gt;0,"OK","불일치"))</f>
        <v>OK</v>
      </c>
    </row>
    <row r="220" spans="1:9" ht="17" customHeight="1" x14ac:dyDescent="0.35">
      <c r="A220" s="39">
        <v>46018</v>
      </c>
      <c r="B220" s="40" t="s">
        <v>22</v>
      </c>
      <c r="C220" s="40" t="s">
        <v>55</v>
      </c>
      <c r="D220" s="41" t="s">
        <v>77</v>
      </c>
      <c r="E220" s="40">
        <v>2</v>
      </c>
      <c r="F220" s="40">
        <v>8500</v>
      </c>
      <c r="G220" s="42">
        <f t="shared" si="3"/>
        <v>17000</v>
      </c>
      <c r="H220" s="40"/>
      <c r="I220" s="43" t="str">
        <f>IF(OR(B220="",C220=""),"",IF(COUNTIFS(재료목록!$A$2:$A$51,B220,재료목록!$B$2:$B$51,C220)&gt;0,"OK","불일치"))</f>
        <v>OK</v>
      </c>
    </row>
    <row r="221" spans="1:9" ht="17" customHeight="1" x14ac:dyDescent="0.35">
      <c r="A221" s="39">
        <v>46020</v>
      </c>
      <c r="B221" s="40" t="s">
        <v>22</v>
      </c>
      <c r="C221" s="40" t="s">
        <v>48</v>
      </c>
      <c r="D221" s="41" t="s">
        <v>77</v>
      </c>
      <c r="E221" s="40">
        <v>1</v>
      </c>
      <c r="F221" s="40">
        <v>13000</v>
      </c>
      <c r="G221" s="42">
        <f t="shared" si="3"/>
        <v>13000</v>
      </c>
      <c r="H221" s="40"/>
      <c r="I221" s="43" t="str">
        <f>IF(OR(B221="",C221=""),"",IF(COUNTIFS(재료목록!$A$2:$A$51,B221,재료목록!$B$2:$B$51,C221)&gt;0,"OK","불일치"))</f>
        <v>OK</v>
      </c>
    </row>
    <row r="222" spans="1:9" ht="17" customHeight="1" x14ac:dyDescent="0.35">
      <c r="A222" s="39">
        <v>46020</v>
      </c>
      <c r="B222" s="40" t="s">
        <v>22</v>
      </c>
      <c r="C222" s="40" t="s">
        <v>62</v>
      </c>
      <c r="D222" s="41" t="s">
        <v>77</v>
      </c>
      <c r="E222" s="40">
        <v>1</v>
      </c>
      <c r="F222" s="40">
        <v>8500</v>
      </c>
      <c r="G222" s="42">
        <f t="shared" si="3"/>
        <v>8500</v>
      </c>
      <c r="H222" s="40"/>
      <c r="I222" s="43" t="str">
        <f>IF(OR(B222="",C222=""),"",IF(COUNTIFS(재료목록!$A$2:$A$51,B222,재료목록!$B$2:$B$51,C222)&gt;0,"OK","불일치"))</f>
        <v>OK</v>
      </c>
    </row>
    <row r="223" spans="1:9" ht="17" customHeight="1" x14ac:dyDescent="0.35">
      <c r="A223" s="39">
        <v>46020</v>
      </c>
      <c r="B223" s="40" t="s">
        <v>22</v>
      </c>
      <c r="C223" s="40" t="s">
        <v>55</v>
      </c>
      <c r="D223" s="41" t="s">
        <v>77</v>
      </c>
      <c r="E223" s="40">
        <v>1</v>
      </c>
      <c r="F223" s="40">
        <v>8500</v>
      </c>
      <c r="G223" s="42">
        <f t="shared" si="3"/>
        <v>8500</v>
      </c>
      <c r="H223" s="40"/>
      <c r="I223" s="43" t="str">
        <f>IF(OR(B223="",C223=""),"",IF(COUNTIFS(재료목록!$A$2:$A$51,B223,재료목록!$B$2:$B$51,C223)&gt;0,"OK","불일치"))</f>
        <v>OK</v>
      </c>
    </row>
    <row r="224" spans="1:9" ht="17" customHeight="1" x14ac:dyDescent="0.35">
      <c r="A224" s="39">
        <v>46020</v>
      </c>
      <c r="B224" s="40" t="s">
        <v>22</v>
      </c>
      <c r="C224" s="40" t="s">
        <v>54</v>
      </c>
      <c r="D224" s="41" t="s">
        <v>77</v>
      </c>
      <c r="E224" s="40">
        <v>5</v>
      </c>
      <c r="F224" s="40">
        <v>2000</v>
      </c>
      <c r="G224" s="42">
        <f t="shared" si="3"/>
        <v>10000</v>
      </c>
      <c r="H224" s="40"/>
      <c r="I224" s="43" t="str">
        <f>IF(OR(B224="",C224=""),"",IF(COUNTIFS(재료목록!$A$2:$A$51,B224,재료목록!$B$2:$B$51,C224)&gt;0,"OK","불일치"))</f>
        <v>OK</v>
      </c>
    </row>
    <row r="225" spans="1:9" ht="17" customHeight="1" x14ac:dyDescent="0.35">
      <c r="A225" s="39">
        <v>46021</v>
      </c>
      <c r="B225" s="40" t="s">
        <v>16</v>
      </c>
      <c r="C225" s="40" t="s">
        <v>37</v>
      </c>
      <c r="D225" s="41" t="s">
        <v>81</v>
      </c>
      <c r="E225" s="40">
        <v>2</v>
      </c>
      <c r="F225" s="40">
        <v>46000</v>
      </c>
      <c r="G225" s="42">
        <f t="shared" si="3"/>
        <v>92000</v>
      </c>
      <c r="H225" s="40"/>
      <c r="I225" s="43" t="str">
        <f>IF(OR(B225="",C225=""),"",IF(COUNTIFS(재료목록!$A$2:$A$51,B225,재료목록!$B$2:$B$51,C225)&gt;0,"OK","불일치"))</f>
        <v>OK</v>
      </c>
    </row>
    <row r="226" spans="1:9" ht="17" customHeight="1" x14ac:dyDescent="0.35">
      <c r="A226" s="39">
        <v>46021</v>
      </c>
      <c r="B226" s="40" t="s">
        <v>11</v>
      </c>
      <c r="C226" s="40" t="s">
        <v>26</v>
      </c>
      <c r="D226" s="41" t="s">
        <v>76</v>
      </c>
      <c r="E226" s="40">
        <v>1</v>
      </c>
      <c r="F226" s="40">
        <v>8000</v>
      </c>
      <c r="G226" s="42">
        <f t="shared" si="3"/>
        <v>8000</v>
      </c>
      <c r="H226" s="40"/>
      <c r="I226" s="43" t="str">
        <f>IF(OR(B226="",C226=""),"",IF(COUNTIFS(재료목록!$A$2:$A$51,B226,재료목록!$B$2:$B$51,C226)&gt;0,"OK","불일치"))</f>
        <v>OK</v>
      </c>
    </row>
    <row r="227" spans="1:9" ht="17" customHeight="1" x14ac:dyDescent="0.35">
      <c r="A227" s="39">
        <v>46022</v>
      </c>
      <c r="B227" s="40" t="s">
        <v>22</v>
      </c>
      <c r="C227" s="40" t="s">
        <v>48</v>
      </c>
      <c r="D227" s="41" t="s">
        <v>77</v>
      </c>
      <c r="E227" s="40">
        <v>1</v>
      </c>
      <c r="F227" s="40">
        <v>13000</v>
      </c>
      <c r="G227" s="42">
        <f t="shared" si="3"/>
        <v>13000</v>
      </c>
      <c r="H227" s="40"/>
      <c r="I227" s="43" t="str">
        <f>IF(OR(B227="",C227=""),"",IF(COUNTIFS(재료목록!$A$2:$A$51,B227,재료목록!$B$2:$B$51,C227)&gt;0,"OK","불일치"))</f>
        <v>OK</v>
      </c>
    </row>
    <row r="228" spans="1:9" ht="17" customHeight="1" x14ac:dyDescent="0.35">
      <c r="A228" s="39">
        <v>46022</v>
      </c>
      <c r="B228" s="40" t="s">
        <v>22</v>
      </c>
      <c r="C228" s="40" t="s">
        <v>62</v>
      </c>
      <c r="D228" s="41" t="s">
        <v>77</v>
      </c>
      <c r="E228" s="40">
        <v>1</v>
      </c>
      <c r="F228" s="40">
        <v>8500</v>
      </c>
      <c r="G228" s="42">
        <f t="shared" si="3"/>
        <v>8500</v>
      </c>
      <c r="H228" s="40"/>
      <c r="I228" s="43" t="str">
        <f>IF(OR(B228="",C228=""),"",IF(COUNTIFS(재료목록!$A$2:$A$51,B228,재료목록!$B$2:$B$51,C228)&gt;0,"OK","불일치"))</f>
        <v>OK</v>
      </c>
    </row>
    <row r="229" spans="1:9" ht="17" customHeight="1" x14ac:dyDescent="0.35">
      <c r="A229" s="39">
        <v>46022</v>
      </c>
      <c r="B229" s="40" t="s">
        <v>22</v>
      </c>
      <c r="C229" s="40" t="s">
        <v>55</v>
      </c>
      <c r="D229" s="41" t="s">
        <v>77</v>
      </c>
      <c r="E229" s="40">
        <v>1</v>
      </c>
      <c r="F229" s="40">
        <v>8500</v>
      </c>
      <c r="G229" s="42">
        <f t="shared" si="3"/>
        <v>8500</v>
      </c>
      <c r="H229" s="40"/>
      <c r="I229" s="43" t="str">
        <f>IF(OR(B229="",C229=""),"",IF(COUNTIFS(재료목록!$A$2:$A$51,B229,재료목록!$B$2:$B$51,C229)&gt;0,"OK","불일치"))</f>
        <v>OK</v>
      </c>
    </row>
    <row r="230" spans="1:9" ht="17" customHeight="1" x14ac:dyDescent="0.35">
      <c r="A230" s="39">
        <v>46022</v>
      </c>
      <c r="B230" s="40" t="s">
        <v>22</v>
      </c>
      <c r="C230" s="40" t="s">
        <v>63</v>
      </c>
      <c r="D230" s="41" t="s">
        <v>75</v>
      </c>
      <c r="E230" s="40">
        <v>1</v>
      </c>
      <c r="F230" s="40">
        <v>48000</v>
      </c>
      <c r="G230" s="42">
        <f t="shared" si="3"/>
        <v>48000</v>
      </c>
      <c r="H230" s="40"/>
      <c r="I230" s="43" t="str">
        <f>IF(OR(B230="",C230=""),"",IF(COUNTIFS(재료목록!$A$2:$A$51,B230,재료목록!$B$2:$B$51,C230)&gt;0,"OK","불일치"))</f>
        <v>OK</v>
      </c>
    </row>
    <row r="231" spans="1:9" ht="17" customHeight="1" x14ac:dyDescent="0.35">
      <c r="A231" s="39"/>
      <c r="B231" s="40" t="s">
        <v>22</v>
      </c>
      <c r="C231" s="40"/>
      <c r="D231" s="41" t="s">
        <v>77</v>
      </c>
      <c r="E231" s="40"/>
      <c r="F231" s="40"/>
      <c r="G231" s="42" t="str">
        <f t="shared" si="3"/>
        <v/>
      </c>
      <c r="H231" s="40"/>
      <c r="I231" s="43" t="str">
        <f>IF(OR(B231="",C231=""),"",IF(COUNTIFS(재료목록!$A$2:$A$51,B231,재료목록!$B$2:$B$51,C231)&gt;0,"OK","불일치"))</f>
        <v/>
      </c>
    </row>
    <row r="232" spans="1:9" ht="17" customHeight="1" x14ac:dyDescent="0.35">
      <c r="A232" s="39"/>
      <c r="B232" s="40" t="s">
        <v>22</v>
      </c>
      <c r="C232" s="40"/>
      <c r="D232" s="41" t="s">
        <v>77</v>
      </c>
      <c r="E232" s="40"/>
      <c r="F232" s="40"/>
      <c r="G232" s="42" t="str">
        <f t="shared" si="3"/>
        <v/>
      </c>
      <c r="H232" s="40"/>
      <c r="I232" s="43" t="str">
        <f>IF(OR(B232="",C232=""),"",IF(COUNTIFS(재료목록!$A$2:$A$51,B232,재료목록!$B$2:$B$51,C232)&gt;0,"OK","불일치"))</f>
        <v/>
      </c>
    </row>
    <row r="233" spans="1:9" ht="17" customHeight="1" x14ac:dyDescent="0.35">
      <c r="A233" s="39"/>
      <c r="B233" s="40" t="s">
        <v>22</v>
      </c>
      <c r="C233" s="40"/>
      <c r="D233" s="41" t="s">
        <v>77</v>
      </c>
      <c r="E233" s="40"/>
      <c r="F233" s="40"/>
      <c r="G233" s="42" t="str">
        <f t="shared" si="3"/>
        <v/>
      </c>
      <c r="H233" s="40"/>
      <c r="I233" s="43" t="str">
        <f>IF(OR(B233="",C233=""),"",IF(COUNTIFS(재료목록!$A$2:$A$51,B233,재료목록!$B$2:$B$51,C233)&gt;0,"OK","불일치"))</f>
        <v/>
      </c>
    </row>
    <row r="234" spans="1:9" ht="17" customHeight="1" x14ac:dyDescent="0.35">
      <c r="A234" s="39"/>
      <c r="B234" s="40" t="s">
        <v>22</v>
      </c>
      <c r="C234" s="40"/>
      <c r="D234" s="41" t="s">
        <v>77</v>
      </c>
      <c r="E234" s="40"/>
      <c r="F234" s="40"/>
      <c r="G234" s="42" t="str">
        <f t="shared" si="3"/>
        <v/>
      </c>
      <c r="H234" s="40"/>
      <c r="I234" s="43" t="str">
        <f>IF(OR(B234="",C234=""),"",IF(COUNTIFS(재료목록!$A$2:$A$51,B234,재료목록!$B$2:$B$51,C234)&gt;0,"OK","불일치"))</f>
        <v/>
      </c>
    </row>
    <row r="235" spans="1:9" ht="17" customHeight="1" x14ac:dyDescent="0.35">
      <c r="A235" s="39"/>
      <c r="B235" s="40" t="s">
        <v>22</v>
      </c>
      <c r="C235" s="40"/>
      <c r="D235" s="41" t="s">
        <v>77</v>
      </c>
      <c r="E235" s="40"/>
      <c r="F235" s="40"/>
      <c r="G235" s="42" t="str">
        <f t="shared" si="3"/>
        <v/>
      </c>
      <c r="H235" s="40"/>
      <c r="I235" s="43" t="str">
        <f>IF(OR(B235="",C235=""),"",IF(COUNTIFS(재료목록!$A$2:$A$51,B235,재료목록!$B$2:$B$51,C235)&gt;0,"OK","불일치"))</f>
        <v/>
      </c>
    </row>
    <row r="236" spans="1:9" ht="17" customHeight="1" x14ac:dyDescent="0.35">
      <c r="A236" s="39"/>
      <c r="B236" s="40" t="s">
        <v>22</v>
      </c>
      <c r="C236" s="40"/>
      <c r="D236" s="41" t="s">
        <v>77</v>
      </c>
      <c r="E236" s="40"/>
      <c r="F236" s="40"/>
      <c r="G236" s="42" t="str">
        <f t="shared" si="3"/>
        <v/>
      </c>
      <c r="H236" s="40"/>
      <c r="I236" s="43" t="str">
        <f>IF(OR(B236="",C236=""),"",IF(COUNTIFS(재료목록!$A$2:$A$51,B236,재료목록!$B$2:$B$51,C236)&gt;0,"OK","불일치"))</f>
        <v/>
      </c>
    </row>
    <row r="237" spans="1:9" ht="17" customHeight="1" x14ac:dyDescent="0.35">
      <c r="A237" s="39"/>
      <c r="B237" s="40" t="s">
        <v>22</v>
      </c>
      <c r="C237" s="40"/>
      <c r="D237" s="41" t="s">
        <v>77</v>
      </c>
      <c r="E237" s="40"/>
      <c r="F237" s="40"/>
      <c r="G237" s="42" t="str">
        <f t="shared" si="3"/>
        <v/>
      </c>
      <c r="H237" s="40"/>
      <c r="I237" s="43" t="str">
        <f>IF(OR(B237="",C237=""),"",IF(COUNTIFS(재료목록!$A$2:$A$51,B237,재료목록!$B$2:$B$51,C237)&gt;0,"OK","불일치"))</f>
        <v/>
      </c>
    </row>
    <row r="238" spans="1:9" ht="17" customHeight="1" x14ac:dyDescent="0.35">
      <c r="A238" s="39"/>
      <c r="B238" s="40" t="s">
        <v>22</v>
      </c>
      <c r="C238" s="40"/>
      <c r="D238" s="41" t="s">
        <v>77</v>
      </c>
      <c r="E238" s="40"/>
      <c r="F238" s="40"/>
      <c r="G238" s="42" t="str">
        <f t="shared" si="3"/>
        <v/>
      </c>
      <c r="H238" s="40"/>
      <c r="I238" s="43" t="str">
        <f>IF(OR(B238="",C238=""),"",IF(COUNTIFS(재료목록!$A$2:$A$51,B238,재료목록!$B$2:$B$51,C238)&gt;0,"OK","불일치"))</f>
        <v/>
      </c>
    </row>
    <row r="239" spans="1:9" ht="17" customHeight="1" x14ac:dyDescent="0.35">
      <c r="A239" s="39"/>
      <c r="B239" s="40" t="s">
        <v>22</v>
      </c>
      <c r="C239" s="40"/>
      <c r="D239" s="41" t="s">
        <v>77</v>
      </c>
      <c r="E239" s="40"/>
      <c r="F239" s="40"/>
      <c r="G239" s="42" t="str">
        <f t="shared" si="3"/>
        <v/>
      </c>
      <c r="H239" s="40"/>
      <c r="I239" s="43" t="str">
        <f>IF(OR(B239="",C239=""),"",IF(COUNTIFS(재료목록!$A$2:$A$51,B239,재료목록!$B$2:$B$51,C239)&gt;0,"OK","불일치"))</f>
        <v/>
      </c>
    </row>
    <row r="240" spans="1:9" ht="17" customHeight="1" x14ac:dyDescent="0.35">
      <c r="A240" s="39"/>
      <c r="B240" s="40" t="s">
        <v>22</v>
      </c>
      <c r="C240" s="40"/>
      <c r="D240" s="41" t="s">
        <v>77</v>
      </c>
      <c r="E240" s="40"/>
      <c r="F240" s="40"/>
      <c r="G240" s="42" t="str">
        <f t="shared" si="3"/>
        <v/>
      </c>
      <c r="H240" s="40"/>
      <c r="I240" s="43" t="str">
        <f>IF(OR(B240="",C240=""),"",IF(COUNTIFS(재료목록!$A$2:$A$51,B240,재료목록!$B$2:$B$51,C240)&gt;0,"OK","불일치"))</f>
        <v/>
      </c>
    </row>
    <row r="241" spans="1:9" ht="17" customHeight="1" x14ac:dyDescent="0.35">
      <c r="A241" s="39"/>
      <c r="B241" s="40" t="s">
        <v>22</v>
      </c>
      <c r="C241" s="40"/>
      <c r="D241" s="41" t="s">
        <v>77</v>
      </c>
      <c r="E241" s="40"/>
      <c r="F241" s="40"/>
      <c r="G241" s="42" t="str">
        <f t="shared" si="3"/>
        <v/>
      </c>
      <c r="H241" s="40"/>
      <c r="I241" s="43" t="str">
        <f>IF(OR(B241="",C241=""),"",IF(COUNTIFS(재료목록!$A$2:$A$51,B241,재료목록!$B$2:$B$51,C241)&gt;0,"OK","불일치"))</f>
        <v/>
      </c>
    </row>
    <row r="242" spans="1:9" ht="17" customHeight="1" x14ac:dyDescent="0.35">
      <c r="A242" s="39"/>
      <c r="B242" s="40" t="s">
        <v>22</v>
      </c>
      <c r="C242" s="40"/>
      <c r="D242" s="41" t="s">
        <v>77</v>
      </c>
      <c r="E242" s="40"/>
      <c r="F242" s="40"/>
      <c r="G242" s="42" t="str">
        <f t="shared" si="3"/>
        <v/>
      </c>
      <c r="H242" s="40"/>
      <c r="I242" s="43" t="str">
        <f>IF(OR(B242="",C242=""),"",IF(COUNTIFS(재료목록!$A$2:$A$51,B242,재료목록!$B$2:$B$51,C242)&gt;0,"OK","불일치"))</f>
        <v/>
      </c>
    </row>
    <row r="243" spans="1:9" ht="17" customHeight="1" x14ac:dyDescent="0.35">
      <c r="A243" s="39"/>
      <c r="B243" s="40" t="s">
        <v>22</v>
      </c>
      <c r="C243" s="40"/>
      <c r="D243" s="41" t="s">
        <v>77</v>
      </c>
      <c r="E243" s="40"/>
      <c r="F243" s="40"/>
      <c r="G243" s="42" t="str">
        <f t="shared" si="3"/>
        <v/>
      </c>
      <c r="H243" s="40"/>
      <c r="I243" s="43" t="str">
        <f>IF(OR(B243="",C243=""),"",IF(COUNTIFS(재료목록!$A$2:$A$51,B243,재료목록!$B$2:$B$51,C243)&gt;0,"OK","불일치"))</f>
        <v/>
      </c>
    </row>
    <row r="244" spans="1:9" ht="17" customHeight="1" x14ac:dyDescent="0.35">
      <c r="A244" s="39"/>
      <c r="B244" s="40" t="s">
        <v>22</v>
      </c>
      <c r="C244" s="40"/>
      <c r="D244" s="41" t="s">
        <v>77</v>
      </c>
      <c r="E244" s="40"/>
      <c r="F244" s="40"/>
      <c r="G244" s="42" t="str">
        <f t="shared" si="3"/>
        <v/>
      </c>
      <c r="H244" s="40"/>
      <c r="I244" s="43" t="str">
        <f>IF(OR(B244="",C244=""),"",IF(COUNTIFS(재료목록!$A$2:$A$51,B244,재료목록!$B$2:$B$51,C244)&gt;0,"OK","불일치"))</f>
        <v/>
      </c>
    </row>
    <row r="245" spans="1:9" ht="17" customHeight="1" x14ac:dyDescent="0.35">
      <c r="A245" s="39"/>
      <c r="B245" s="40" t="s">
        <v>22</v>
      </c>
      <c r="C245" s="40"/>
      <c r="D245" s="41" t="s">
        <v>77</v>
      </c>
      <c r="E245" s="40"/>
      <c r="F245" s="40"/>
      <c r="G245" s="42" t="str">
        <f t="shared" si="3"/>
        <v/>
      </c>
      <c r="H245" s="40"/>
      <c r="I245" s="43" t="str">
        <f>IF(OR(B245="",C245=""),"",IF(COUNTIFS(재료목록!$A$2:$A$51,B245,재료목록!$B$2:$B$51,C245)&gt;0,"OK","불일치"))</f>
        <v/>
      </c>
    </row>
    <row r="246" spans="1:9" ht="17" customHeight="1" x14ac:dyDescent="0.35">
      <c r="A246" s="39"/>
      <c r="B246" s="40" t="s">
        <v>22</v>
      </c>
      <c r="C246" s="40"/>
      <c r="D246" s="41" t="s">
        <v>77</v>
      </c>
      <c r="E246" s="40"/>
      <c r="F246" s="40"/>
      <c r="G246" s="42" t="str">
        <f t="shared" si="3"/>
        <v/>
      </c>
      <c r="H246" s="40"/>
      <c r="I246" s="43" t="str">
        <f>IF(OR(B246="",C246=""),"",IF(COUNTIFS(재료목록!$A$2:$A$51,B246,재료목록!$B$2:$B$51,C246)&gt;0,"OK","불일치"))</f>
        <v/>
      </c>
    </row>
    <row r="247" spans="1:9" ht="17" customHeight="1" x14ac:dyDescent="0.35">
      <c r="A247" s="39"/>
      <c r="B247" s="40" t="s">
        <v>22</v>
      </c>
      <c r="C247" s="40"/>
      <c r="D247" s="41" t="s">
        <v>77</v>
      </c>
      <c r="E247" s="40"/>
      <c r="F247" s="40"/>
      <c r="G247" s="42" t="str">
        <f t="shared" si="3"/>
        <v/>
      </c>
      <c r="H247" s="40"/>
      <c r="I247" s="43" t="str">
        <f>IF(OR(B247="",C247=""),"",IF(COUNTIFS(재료목록!$A$2:$A$51,B247,재료목록!$B$2:$B$51,C247)&gt;0,"OK","불일치"))</f>
        <v/>
      </c>
    </row>
    <row r="248" spans="1:9" ht="17" customHeight="1" x14ac:dyDescent="0.35">
      <c r="A248" s="39"/>
      <c r="B248" s="40" t="s">
        <v>22</v>
      </c>
      <c r="C248" s="40"/>
      <c r="D248" s="41" t="s">
        <v>77</v>
      </c>
      <c r="E248" s="40"/>
      <c r="F248" s="40"/>
      <c r="G248" s="42" t="str">
        <f t="shared" si="3"/>
        <v/>
      </c>
      <c r="H248" s="40"/>
      <c r="I248" s="43" t="str">
        <f>IF(OR(B248="",C248=""),"",IF(COUNTIFS(재료목록!$A$2:$A$51,B248,재료목록!$B$2:$B$51,C248)&gt;0,"OK","불일치"))</f>
        <v/>
      </c>
    </row>
    <row r="249" spans="1:9" ht="17" customHeight="1" x14ac:dyDescent="0.35">
      <c r="A249" s="39"/>
      <c r="B249" s="40" t="s">
        <v>22</v>
      </c>
      <c r="C249" s="40"/>
      <c r="D249" s="41" t="s">
        <v>77</v>
      </c>
      <c r="E249" s="40"/>
      <c r="F249" s="40"/>
      <c r="G249" s="42" t="str">
        <f t="shared" si="3"/>
        <v/>
      </c>
      <c r="H249" s="40"/>
      <c r="I249" s="43" t="str">
        <f>IF(OR(B249="",C249=""),"",IF(COUNTIFS(재료목록!$A$2:$A$51,B249,재료목록!$B$2:$B$51,C249)&gt;0,"OK","불일치"))</f>
        <v/>
      </c>
    </row>
    <row r="250" spans="1:9" ht="17" customHeight="1" x14ac:dyDescent="0.35">
      <c r="A250" s="39"/>
      <c r="B250" s="40" t="s">
        <v>22</v>
      </c>
      <c r="C250" s="40"/>
      <c r="D250" s="41" t="s">
        <v>77</v>
      </c>
      <c r="E250" s="40"/>
      <c r="F250" s="40"/>
      <c r="G250" s="42" t="str">
        <f t="shared" si="3"/>
        <v/>
      </c>
      <c r="H250" s="40"/>
      <c r="I250" s="43" t="str">
        <f>IF(OR(B250="",C250=""),"",IF(COUNTIFS(재료목록!$A$2:$A$51,B250,재료목록!$B$2:$B$51,C250)&gt;0,"OK","불일치"))</f>
        <v/>
      </c>
    </row>
    <row r="251" spans="1:9" ht="17" customHeight="1" x14ac:dyDescent="0.35">
      <c r="A251" s="39"/>
      <c r="B251" s="40" t="s">
        <v>22</v>
      </c>
      <c r="C251" s="40"/>
      <c r="D251" s="41" t="s">
        <v>77</v>
      </c>
      <c r="E251" s="40"/>
      <c r="F251" s="40"/>
      <c r="G251" s="42" t="str">
        <f t="shared" si="3"/>
        <v/>
      </c>
      <c r="H251" s="40"/>
      <c r="I251" s="43" t="str">
        <f>IF(OR(B251="",C251=""),"",IF(COUNTIFS(재료목록!$A$2:$A$51,B251,재료목록!$B$2:$B$51,C251)&gt;0,"OK","불일치"))</f>
        <v/>
      </c>
    </row>
    <row r="252" spans="1:9" ht="17" customHeight="1" x14ac:dyDescent="0.35">
      <c r="A252" s="39"/>
      <c r="B252" s="40" t="s">
        <v>22</v>
      </c>
      <c r="C252" s="40"/>
      <c r="D252" s="41" t="s">
        <v>77</v>
      </c>
      <c r="E252" s="40"/>
      <c r="F252" s="40"/>
      <c r="G252" s="42" t="str">
        <f t="shared" si="3"/>
        <v/>
      </c>
      <c r="H252" s="40"/>
      <c r="I252" s="43" t="str">
        <f>IF(OR(B252="",C252=""),"",IF(COUNTIFS(재료목록!$A$2:$A$51,B252,재료목록!$B$2:$B$51,C252)&gt;0,"OK","불일치"))</f>
        <v/>
      </c>
    </row>
    <row r="253" spans="1:9" ht="17" customHeight="1" x14ac:dyDescent="0.35">
      <c r="A253" s="39"/>
      <c r="B253" s="40" t="s">
        <v>22</v>
      </c>
      <c r="C253" s="40"/>
      <c r="D253" s="41" t="s">
        <v>77</v>
      </c>
      <c r="E253" s="40"/>
      <c r="F253" s="40"/>
      <c r="G253" s="42" t="str">
        <f t="shared" si="3"/>
        <v/>
      </c>
      <c r="H253" s="40"/>
      <c r="I253" s="43" t="str">
        <f>IF(OR(B253="",C253=""),"",IF(COUNTIFS(재료목록!$A$2:$A$51,B253,재료목록!$B$2:$B$51,C253)&gt;0,"OK","불일치"))</f>
        <v/>
      </c>
    </row>
    <row r="254" spans="1:9" ht="17" customHeight="1" x14ac:dyDescent="0.35">
      <c r="A254" s="39"/>
      <c r="B254" s="40" t="s">
        <v>22</v>
      </c>
      <c r="C254" s="40"/>
      <c r="D254" s="41" t="s">
        <v>77</v>
      </c>
      <c r="E254" s="40"/>
      <c r="F254" s="40"/>
      <c r="G254" s="42" t="str">
        <f t="shared" si="3"/>
        <v/>
      </c>
      <c r="H254" s="40"/>
      <c r="I254" s="43" t="str">
        <f>IF(OR(B254="",C254=""),"",IF(COUNTIFS(재료목록!$A$2:$A$51,B254,재료목록!$B$2:$B$51,C254)&gt;0,"OK","불일치"))</f>
        <v/>
      </c>
    </row>
    <row r="255" spans="1:9" ht="17" customHeight="1" x14ac:dyDescent="0.35">
      <c r="A255" s="39"/>
      <c r="B255" s="40" t="s">
        <v>22</v>
      </c>
      <c r="C255" s="40"/>
      <c r="D255" s="41" t="s">
        <v>77</v>
      </c>
      <c r="E255" s="40"/>
      <c r="F255" s="40"/>
      <c r="G255" s="42" t="str">
        <f t="shared" si="3"/>
        <v/>
      </c>
      <c r="H255" s="40"/>
      <c r="I255" s="43" t="str">
        <f>IF(OR(B255="",C255=""),"",IF(COUNTIFS(재료목록!$A$2:$A$51,B255,재료목록!$B$2:$B$51,C255)&gt;0,"OK","불일치"))</f>
        <v/>
      </c>
    </row>
    <row r="256" spans="1:9" ht="17" customHeight="1" x14ac:dyDescent="0.35">
      <c r="A256" s="39"/>
      <c r="B256" s="40" t="s">
        <v>22</v>
      </c>
      <c r="C256" s="40"/>
      <c r="D256" s="41" t="s">
        <v>77</v>
      </c>
      <c r="E256" s="40"/>
      <c r="F256" s="40"/>
      <c r="G256" s="42" t="str">
        <f t="shared" si="3"/>
        <v/>
      </c>
      <c r="H256" s="40"/>
      <c r="I256" s="43" t="str">
        <f>IF(OR(B256="",C256=""),"",IF(COUNTIFS(재료목록!$A$2:$A$51,B256,재료목록!$B$2:$B$51,C256)&gt;0,"OK","불일치"))</f>
        <v/>
      </c>
    </row>
    <row r="257" spans="1:9" ht="17" customHeight="1" x14ac:dyDescent="0.35">
      <c r="A257" s="39"/>
      <c r="B257" s="40" t="s">
        <v>22</v>
      </c>
      <c r="C257" s="40"/>
      <c r="D257" s="41" t="s">
        <v>77</v>
      </c>
      <c r="E257" s="40"/>
      <c r="F257" s="40"/>
      <c r="G257" s="42" t="str">
        <f t="shared" si="3"/>
        <v/>
      </c>
      <c r="H257" s="40"/>
      <c r="I257" s="43" t="str">
        <f>IF(OR(B257="",C257=""),"",IF(COUNTIFS(재료목록!$A$2:$A$51,B257,재료목록!$B$2:$B$51,C257)&gt;0,"OK","불일치"))</f>
        <v/>
      </c>
    </row>
    <row r="258" spans="1:9" ht="17" customHeight="1" x14ac:dyDescent="0.35">
      <c r="A258" s="39"/>
      <c r="B258" s="40" t="s">
        <v>22</v>
      </c>
      <c r="C258" s="40"/>
      <c r="D258" s="41" t="s">
        <v>77</v>
      </c>
      <c r="E258" s="40"/>
      <c r="F258" s="40"/>
      <c r="G258" s="42" t="str">
        <f t="shared" ref="G258:G321" si="4">IF(OR(E258="",F258=""),"",E258*F258)</f>
        <v/>
      </c>
      <c r="H258" s="40"/>
      <c r="I258" s="43" t="str">
        <f>IF(OR(B258="",C258=""),"",IF(COUNTIFS(재료목록!$A$2:$A$51,B258,재료목록!$B$2:$B$51,C258)&gt;0,"OK","불일치"))</f>
        <v/>
      </c>
    </row>
    <row r="259" spans="1:9" ht="17" customHeight="1" x14ac:dyDescent="0.35">
      <c r="A259" s="39"/>
      <c r="B259" s="40" t="s">
        <v>22</v>
      </c>
      <c r="C259" s="40"/>
      <c r="D259" s="41" t="s">
        <v>77</v>
      </c>
      <c r="E259" s="40"/>
      <c r="F259" s="40"/>
      <c r="G259" s="42" t="str">
        <f t="shared" si="4"/>
        <v/>
      </c>
      <c r="H259" s="40"/>
      <c r="I259" s="43" t="str">
        <f>IF(OR(B259="",C259=""),"",IF(COUNTIFS(재료목록!$A$2:$A$51,B259,재료목록!$B$2:$B$51,C259)&gt;0,"OK","불일치"))</f>
        <v/>
      </c>
    </row>
    <row r="260" spans="1:9" ht="17" customHeight="1" x14ac:dyDescent="0.35">
      <c r="A260" s="39"/>
      <c r="B260" s="40" t="s">
        <v>22</v>
      </c>
      <c r="C260" s="40"/>
      <c r="D260" s="41" t="s">
        <v>77</v>
      </c>
      <c r="E260" s="40"/>
      <c r="F260" s="40"/>
      <c r="G260" s="42" t="str">
        <f t="shared" si="4"/>
        <v/>
      </c>
      <c r="H260" s="40"/>
      <c r="I260" s="43" t="str">
        <f>IF(OR(B260="",C260=""),"",IF(COUNTIFS(재료목록!$A$2:$A$51,B260,재료목록!$B$2:$B$51,C260)&gt;0,"OK","불일치"))</f>
        <v/>
      </c>
    </row>
    <row r="261" spans="1:9" ht="17" customHeight="1" x14ac:dyDescent="0.35">
      <c r="A261" s="39"/>
      <c r="B261" s="40" t="s">
        <v>22</v>
      </c>
      <c r="C261" s="40"/>
      <c r="D261" s="41" t="s">
        <v>77</v>
      </c>
      <c r="E261" s="40"/>
      <c r="F261" s="40"/>
      <c r="G261" s="42" t="str">
        <f t="shared" si="4"/>
        <v/>
      </c>
      <c r="H261" s="40"/>
      <c r="I261" s="43" t="str">
        <f>IF(OR(B261="",C261=""),"",IF(COUNTIFS(재료목록!$A$2:$A$51,B261,재료목록!$B$2:$B$51,C261)&gt;0,"OK","불일치"))</f>
        <v/>
      </c>
    </row>
    <row r="262" spans="1:9" ht="17" customHeight="1" x14ac:dyDescent="0.35">
      <c r="A262" s="39"/>
      <c r="B262" s="40" t="s">
        <v>22</v>
      </c>
      <c r="C262" s="40"/>
      <c r="D262" s="41" t="s">
        <v>77</v>
      </c>
      <c r="E262" s="40"/>
      <c r="F262" s="40"/>
      <c r="G262" s="42" t="str">
        <f t="shared" si="4"/>
        <v/>
      </c>
      <c r="H262" s="40"/>
      <c r="I262" s="43" t="str">
        <f>IF(OR(B262="",C262=""),"",IF(COUNTIFS(재료목록!$A$2:$A$51,B262,재료목록!$B$2:$B$51,C262)&gt;0,"OK","불일치"))</f>
        <v/>
      </c>
    </row>
    <row r="263" spans="1:9" ht="17" customHeight="1" x14ac:dyDescent="0.35">
      <c r="A263" s="39"/>
      <c r="B263" s="40" t="s">
        <v>22</v>
      </c>
      <c r="C263" s="40"/>
      <c r="D263" s="41" t="s">
        <v>77</v>
      </c>
      <c r="E263" s="40"/>
      <c r="F263" s="40"/>
      <c r="G263" s="42" t="str">
        <f t="shared" si="4"/>
        <v/>
      </c>
      <c r="H263" s="40"/>
      <c r="I263" s="43" t="str">
        <f>IF(OR(B263="",C263=""),"",IF(COUNTIFS(재료목록!$A$2:$A$51,B263,재료목록!$B$2:$B$51,C263)&gt;0,"OK","불일치"))</f>
        <v/>
      </c>
    </row>
    <row r="264" spans="1:9" ht="17" customHeight="1" x14ac:dyDescent="0.35">
      <c r="A264" s="39"/>
      <c r="B264" s="40" t="s">
        <v>22</v>
      </c>
      <c r="C264" s="40"/>
      <c r="D264" s="41" t="s">
        <v>77</v>
      </c>
      <c r="E264" s="40"/>
      <c r="F264" s="40"/>
      <c r="G264" s="42" t="str">
        <f t="shared" si="4"/>
        <v/>
      </c>
      <c r="H264" s="40"/>
      <c r="I264" s="43" t="str">
        <f>IF(OR(B264="",C264=""),"",IF(COUNTIFS(재료목록!$A$2:$A$51,B264,재료목록!$B$2:$B$51,C264)&gt;0,"OK","불일치"))</f>
        <v/>
      </c>
    </row>
    <row r="265" spans="1:9" ht="17" customHeight="1" x14ac:dyDescent="0.35">
      <c r="A265" s="39"/>
      <c r="B265" s="40" t="s">
        <v>22</v>
      </c>
      <c r="C265" s="40"/>
      <c r="D265" s="41" t="s">
        <v>77</v>
      </c>
      <c r="E265" s="40"/>
      <c r="F265" s="40"/>
      <c r="G265" s="42" t="str">
        <f t="shared" si="4"/>
        <v/>
      </c>
      <c r="H265" s="40"/>
      <c r="I265" s="43" t="str">
        <f>IF(OR(B265="",C265=""),"",IF(COUNTIFS(재료목록!$A$2:$A$51,B265,재료목록!$B$2:$B$51,C265)&gt;0,"OK","불일치"))</f>
        <v/>
      </c>
    </row>
    <row r="266" spans="1:9" ht="17" customHeight="1" x14ac:dyDescent="0.35">
      <c r="A266" s="39"/>
      <c r="B266" s="40" t="s">
        <v>22</v>
      </c>
      <c r="C266" s="40"/>
      <c r="D266" s="41" t="s">
        <v>77</v>
      </c>
      <c r="E266" s="40"/>
      <c r="F266" s="40"/>
      <c r="G266" s="42" t="str">
        <f t="shared" si="4"/>
        <v/>
      </c>
      <c r="H266" s="40"/>
      <c r="I266" s="43" t="str">
        <f>IF(OR(B266="",C266=""),"",IF(COUNTIFS(재료목록!$A$2:$A$51,B266,재료목록!$B$2:$B$51,C266)&gt;0,"OK","불일치"))</f>
        <v/>
      </c>
    </row>
    <row r="267" spans="1:9" ht="17" customHeight="1" x14ac:dyDescent="0.35">
      <c r="A267" s="39"/>
      <c r="B267" s="40" t="s">
        <v>22</v>
      </c>
      <c r="C267" s="40"/>
      <c r="D267" s="41" t="s">
        <v>77</v>
      </c>
      <c r="E267" s="40"/>
      <c r="F267" s="40"/>
      <c r="G267" s="42" t="str">
        <f t="shared" si="4"/>
        <v/>
      </c>
      <c r="H267" s="40"/>
      <c r="I267" s="43" t="str">
        <f>IF(OR(B267="",C267=""),"",IF(COUNTIFS(재료목록!$A$2:$A$51,B267,재료목록!$B$2:$B$51,C267)&gt;0,"OK","불일치"))</f>
        <v/>
      </c>
    </row>
    <row r="268" spans="1:9" ht="17" customHeight="1" x14ac:dyDescent="0.35">
      <c r="A268" s="39"/>
      <c r="B268" s="40" t="s">
        <v>22</v>
      </c>
      <c r="C268" s="40"/>
      <c r="D268" s="41" t="s">
        <v>77</v>
      </c>
      <c r="E268" s="40"/>
      <c r="F268" s="40"/>
      <c r="G268" s="42" t="str">
        <f t="shared" si="4"/>
        <v/>
      </c>
      <c r="H268" s="40"/>
      <c r="I268" s="43" t="str">
        <f>IF(OR(B268="",C268=""),"",IF(COUNTIFS(재료목록!$A$2:$A$51,B268,재료목록!$B$2:$B$51,C268)&gt;0,"OK","불일치"))</f>
        <v/>
      </c>
    </row>
    <row r="269" spans="1:9" ht="17" customHeight="1" x14ac:dyDescent="0.35">
      <c r="A269" s="39"/>
      <c r="B269" s="40" t="s">
        <v>22</v>
      </c>
      <c r="C269" s="40"/>
      <c r="D269" s="41" t="s">
        <v>77</v>
      </c>
      <c r="E269" s="40"/>
      <c r="F269" s="40"/>
      <c r="G269" s="42" t="str">
        <f t="shared" si="4"/>
        <v/>
      </c>
      <c r="H269" s="40"/>
      <c r="I269" s="43" t="str">
        <f>IF(OR(B269="",C269=""),"",IF(COUNTIFS(재료목록!$A$2:$A$51,B269,재료목록!$B$2:$B$51,C269)&gt;0,"OK","불일치"))</f>
        <v/>
      </c>
    </row>
    <row r="270" spans="1:9" ht="17" customHeight="1" x14ac:dyDescent="0.35">
      <c r="A270" s="39"/>
      <c r="B270" s="40" t="s">
        <v>22</v>
      </c>
      <c r="C270" s="40"/>
      <c r="D270" s="41" t="s">
        <v>77</v>
      </c>
      <c r="E270" s="40"/>
      <c r="F270" s="40"/>
      <c r="G270" s="42" t="str">
        <f t="shared" si="4"/>
        <v/>
      </c>
      <c r="H270" s="40"/>
      <c r="I270" s="43" t="str">
        <f>IF(OR(B270="",C270=""),"",IF(COUNTIFS(재료목록!$A$2:$A$51,B270,재료목록!$B$2:$B$51,C270)&gt;0,"OK","불일치"))</f>
        <v/>
      </c>
    </row>
    <row r="271" spans="1:9" ht="17" customHeight="1" x14ac:dyDescent="0.35">
      <c r="A271" s="39"/>
      <c r="B271" s="40" t="s">
        <v>22</v>
      </c>
      <c r="C271" s="40"/>
      <c r="D271" s="41" t="s">
        <v>77</v>
      </c>
      <c r="E271" s="40"/>
      <c r="F271" s="40"/>
      <c r="G271" s="42" t="str">
        <f t="shared" si="4"/>
        <v/>
      </c>
      <c r="H271" s="40"/>
      <c r="I271" s="43" t="str">
        <f>IF(OR(B271="",C271=""),"",IF(COUNTIFS(재료목록!$A$2:$A$51,B271,재료목록!$B$2:$B$51,C271)&gt;0,"OK","불일치"))</f>
        <v/>
      </c>
    </row>
    <row r="272" spans="1:9" ht="17" customHeight="1" x14ac:dyDescent="0.35">
      <c r="A272" s="39"/>
      <c r="B272" s="40" t="s">
        <v>22</v>
      </c>
      <c r="C272" s="40"/>
      <c r="D272" s="41" t="s">
        <v>77</v>
      </c>
      <c r="E272" s="40"/>
      <c r="F272" s="40"/>
      <c r="G272" s="42" t="str">
        <f t="shared" si="4"/>
        <v/>
      </c>
      <c r="H272" s="40"/>
      <c r="I272" s="43" t="str">
        <f>IF(OR(B272="",C272=""),"",IF(COUNTIFS(재료목록!$A$2:$A$51,B272,재료목록!$B$2:$B$51,C272)&gt;0,"OK","불일치"))</f>
        <v/>
      </c>
    </row>
    <row r="273" spans="1:9" ht="17" customHeight="1" x14ac:dyDescent="0.35">
      <c r="A273" s="39"/>
      <c r="B273" s="40" t="s">
        <v>22</v>
      </c>
      <c r="C273" s="40"/>
      <c r="D273" s="41" t="s">
        <v>77</v>
      </c>
      <c r="E273" s="40"/>
      <c r="F273" s="40"/>
      <c r="G273" s="42" t="str">
        <f t="shared" si="4"/>
        <v/>
      </c>
      <c r="H273" s="40"/>
      <c r="I273" s="43" t="str">
        <f>IF(OR(B273="",C273=""),"",IF(COUNTIFS(재료목록!$A$2:$A$51,B273,재료목록!$B$2:$B$51,C273)&gt;0,"OK","불일치"))</f>
        <v/>
      </c>
    </row>
    <row r="274" spans="1:9" ht="17" customHeight="1" x14ac:dyDescent="0.35">
      <c r="A274" s="39"/>
      <c r="B274" s="40" t="s">
        <v>22</v>
      </c>
      <c r="C274" s="40"/>
      <c r="D274" s="41" t="s">
        <v>77</v>
      </c>
      <c r="E274" s="40"/>
      <c r="F274" s="40"/>
      <c r="G274" s="42" t="str">
        <f t="shared" si="4"/>
        <v/>
      </c>
      <c r="H274" s="40"/>
      <c r="I274" s="43" t="str">
        <f>IF(OR(B274="",C274=""),"",IF(COUNTIFS(재료목록!$A$2:$A$51,B274,재료목록!$B$2:$B$51,C274)&gt;0,"OK","불일치"))</f>
        <v/>
      </c>
    </row>
    <row r="275" spans="1:9" ht="17" customHeight="1" x14ac:dyDescent="0.35">
      <c r="A275" s="39"/>
      <c r="B275" s="40" t="s">
        <v>22</v>
      </c>
      <c r="C275" s="40"/>
      <c r="D275" s="41" t="s">
        <v>77</v>
      </c>
      <c r="E275" s="40"/>
      <c r="F275" s="40"/>
      <c r="G275" s="42" t="str">
        <f t="shared" si="4"/>
        <v/>
      </c>
      <c r="H275" s="40"/>
      <c r="I275" s="43" t="str">
        <f>IF(OR(B275="",C275=""),"",IF(COUNTIFS(재료목록!$A$2:$A$51,B275,재료목록!$B$2:$B$51,C275)&gt;0,"OK","불일치"))</f>
        <v/>
      </c>
    </row>
    <row r="276" spans="1:9" ht="17" customHeight="1" x14ac:dyDescent="0.35">
      <c r="A276" s="39"/>
      <c r="B276" s="40" t="s">
        <v>22</v>
      </c>
      <c r="C276" s="40"/>
      <c r="D276" s="41" t="s">
        <v>77</v>
      </c>
      <c r="E276" s="40"/>
      <c r="F276" s="40"/>
      <c r="G276" s="42" t="str">
        <f t="shared" si="4"/>
        <v/>
      </c>
      <c r="H276" s="40"/>
      <c r="I276" s="43" t="str">
        <f>IF(OR(B276="",C276=""),"",IF(COUNTIFS(재료목록!$A$2:$A$51,B276,재료목록!$B$2:$B$51,C276)&gt;0,"OK","불일치"))</f>
        <v/>
      </c>
    </row>
    <row r="277" spans="1:9" ht="17" customHeight="1" x14ac:dyDescent="0.35">
      <c r="A277" s="39"/>
      <c r="B277" s="40" t="s">
        <v>22</v>
      </c>
      <c r="C277" s="40"/>
      <c r="D277" s="41" t="s">
        <v>77</v>
      </c>
      <c r="E277" s="40"/>
      <c r="F277" s="40"/>
      <c r="G277" s="42" t="str">
        <f t="shared" si="4"/>
        <v/>
      </c>
      <c r="H277" s="40"/>
      <c r="I277" s="43" t="str">
        <f>IF(OR(B277="",C277=""),"",IF(COUNTIFS(재료목록!$A$2:$A$51,B277,재료목록!$B$2:$B$51,C277)&gt;0,"OK","불일치"))</f>
        <v/>
      </c>
    </row>
    <row r="278" spans="1:9" ht="17" customHeight="1" x14ac:dyDescent="0.35">
      <c r="A278" s="39"/>
      <c r="B278" s="40" t="s">
        <v>22</v>
      </c>
      <c r="C278" s="40"/>
      <c r="D278" s="41" t="s">
        <v>77</v>
      </c>
      <c r="E278" s="40"/>
      <c r="F278" s="40"/>
      <c r="G278" s="42" t="str">
        <f t="shared" si="4"/>
        <v/>
      </c>
      <c r="H278" s="40"/>
      <c r="I278" s="43" t="str">
        <f>IF(OR(B278="",C278=""),"",IF(COUNTIFS(재료목록!$A$2:$A$51,B278,재료목록!$B$2:$B$51,C278)&gt;0,"OK","불일치"))</f>
        <v/>
      </c>
    </row>
    <row r="279" spans="1:9" ht="17" customHeight="1" x14ac:dyDescent="0.35">
      <c r="A279" s="39"/>
      <c r="B279" s="40" t="s">
        <v>22</v>
      </c>
      <c r="C279" s="40"/>
      <c r="D279" s="41" t="s">
        <v>77</v>
      </c>
      <c r="E279" s="40"/>
      <c r="F279" s="40"/>
      <c r="G279" s="42" t="str">
        <f t="shared" si="4"/>
        <v/>
      </c>
      <c r="H279" s="40"/>
      <c r="I279" s="43" t="str">
        <f>IF(OR(B279="",C279=""),"",IF(COUNTIFS(재료목록!$A$2:$A$51,B279,재료목록!$B$2:$B$51,C279)&gt;0,"OK","불일치"))</f>
        <v/>
      </c>
    </row>
    <row r="280" spans="1:9" ht="17" customHeight="1" x14ac:dyDescent="0.35">
      <c r="A280" s="39"/>
      <c r="B280" s="40" t="s">
        <v>22</v>
      </c>
      <c r="C280" s="40"/>
      <c r="D280" s="41" t="s">
        <v>77</v>
      </c>
      <c r="E280" s="40"/>
      <c r="F280" s="40"/>
      <c r="G280" s="42" t="str">
        <f t="shared" si="4"/>
        <v/>
      </c>
      <c r="H280" s="40"/>
      <c r="I280" s="43" t="str">
        <f>IF(OR(B280="",C280=""),"",IF(COUNTIFS(재료목록!$A$2:$A$51,B280,재료목록!$B$2:$B$51,C280)&gt;0,"OK","불일치"))</f>
        <v/>
      </c>
    </row>
    <row r="281" spans="1:9" ht="17" customHeight="1" x14ac:dyDescent="0.35">
      <c r="A281" s="39"/>
      <c r="B281" s="40" t="s">
        <v>22</v>
      </c>
      <c r="C281" s="40"/>
      <c r="D281" s="41" t="s">
        <v>77</v>
      </c>
      <c r="E281" s="40"/>
      <c r="F281" s="40"/>
      <c r="G281" s="42" t="str">
        <f t="shared" si="4"/>
        <v/>
      </c>
      <c r="H281" s="40"/>
      <c r="I281" s="43" t="str">
        <f>IF(OR(B281="",C281=""),"",IF(COUNTIFS(재료목록!$A$2:$A$51,B281,재료목록!$B$2:$B$51,C281)&gt;0,"OK","불일치"))</f>
        <v/>
      </c>
    </row>
    <row r="282" spans="1:9" ht="17" customHeight="1" x14ac:dyDescent="0.35">
      <c r="A282" s="39"/>
      <c r="B282" s="40" t="s">
        <v>22</v>
      </c>
      <c r="C282" s="40"/>
      <c r="D282" s="41" t="s">
        <v>77</v>
      </c>
      <c r="E282" s="40"/>
      <c r="F282" s="40"/>
      <c r="G282" s="42" t="str">
        <f t="shared" si="4"/>
        <v/>
      </c>
      <c r="H282" s="40"/>
      <c r="I282" s="43" t="str">
        <f>IF(OR(B282="",C282=""),"",IF(COUNTIFS(재료목록!$A$2:$A$51,B282,재료목록!$B$2:$B$51,C282)&gt;0,"OK","불일치"))</f>
        <v/>
      </c>
    </row>
    <row r="283" spans="1:9" ht="17" customHeight="1" x14ac:dyDescent="0.35">
      <c r="A283" s="39"/>
      <c r="B283" s="40" t="s">
        <v>22</v>
      </c>
      <c r="C283" s="40"/>
      <c r="D283" s="41" t="s">
        <v>77</v>
      </c>
      <c r="E283" s="40"/>
      <c r="F283" s="40"/>
      <c r="G283" s="42" t="str">
        <f t="shared" si="4"/>
        <v/>
      </c>
      <c r="H283" s="40"/>
      <c r="I283" s="43" t="str">
        <f>IF(OR(B283="",C283=""),"",IF(COUNTIFS(재료목록!$A$2:$A$51,B283,재료목록!$B$2:$B$51,C283)&gt;0,"OK","불일치"))</f>
        <v/>
      </c>
    </row>
    <row r="284" spans="1:9" ht="17" customHeight="1" x14ac:dyDescent="0.35">
      <c r="A284" s="39"/>
      <c r="B284" s="40" t="s">
        <v>22</v>
      </c>
      <c r="C284" s="40"/>
      <c r="D284" s="41" t="s">
        <v>77</v>
      </c>
      <c r="E284" s="40"/>
      <c r="F284" s="40"/>
      <c r="G284" s="42" t="str">
        <f t="shared" si="4"/>
        <v/>
      </c>
      <c r="H284" s="40"/>
      <c r="I284" s="43" t="str">
        <f>IF(OR(B284="",C284=""),"",IF(COUNTIFS(재료목록!$A$2:$A$51,B284,재료목록!$B$2:$B$51,C284)&gt;0,"OK","불일치"))</f>
        <v/>
      </c>
    </row>
    <row r="285" spans="1:9" ht="17" customHeight="1" x14ac:dyDescent="0.35">
      <c r="A285" s="39"/>
      <c r="B285" s="40" t="s">
        <v>22</v>
      </c>
      <c r="C285" s="40"/>
      <c r="D285" s="41" t="s">
        <v>77</v>
      </c>
      <c r="E285" s="40"/>
      <c r="F285" s="40"/>
      <c r="G285" s="42" t="str">
        <f t="shared" si="4"/>
        <v/>
      </c>
      <c r="H285" s="40"/>
      <c r="I285" s="43" t="str">
        <f>IF(OR(B285="",C285=""),"",IF(COUNTIFS(재료목록!$A$2:$A$51,B285,재료목록!$B$2:$B$51,C285)&gt;0,"OK","불일치"))</f>
        <v/>
      </c>
    </row>
    <row r="286" spans="1:9" ht="17" customHeight="1" x14ac:dyDescent="0.35">
      <c r="A286" s="39"/>
      <c r="B286" s="40" t="s">
        <v>22</v>
      </c>
      <c r="C286" s="40"/>
      <c r="D286" s="41" t="s">
        <v>77</v>
      </c>
      <c r="E286" s="40"/>
      <c r="F286" s="40"/>
      <c r="G286" s="42" t="str">
        <f t="shared" si="4"/>
        <v/>
      </c>
      <c r="H286" s="40"/>
      <c r="I286" s="43" t="str">
        <f>IF(OR(B286="",C286=""),"",IF(COUNTIFS(재료목록!$A$2:$A$51,B286,재료목록!$B$2:$B$51,C286)&gt;0,"OK","불일치"))</f>
        <v/>
      </c>
    </row>
    <row r="287" spans="1:9" ht="17" customHeight="1" x14ac:dyDescent="0.35">
      <c r="A287" s="39"/>
      <c r="B287" s="40" t="s">
        <v>22</v>
      </c>
      <c r="C287" s="40"/>
      <c r="D287" s="41" t="s">
        <v>77</v>
      </c>
      <c r="E287" s="40"/>
      <c r="F287" s="40"/>
      <c r="G287" s="42" t="str">
        <f t="shared" si="4"/>
        <v/>
      </c>
      <c r="H287" s="40"/>
      <c r="I287" s="43" t="str">
        <f>IF(OR(B287="",C287=""),"",IF(COUNTIFS(재료목록!$A$2:$A$51,B287,재료목록!$B$2:$B$51,C287)&gt;0,"OK","불일치"))</f>
        <v/>
      </c>
    </row>
    <row r="288" spans="1:9" ht="17" customHeight="1" x14ac:dyDescent="0.35">
      <c r="A288" s="39"/>
      <c r="B288" s="40" t="s">
        <v>22</v>
      </c>
      <c r="C288" s="40"/>
      <c r="D288" s="41" t="s">
        <v>77</v>
      </c>
      <c r="E288" s="40"/>
      <c r="F288" s="40"/>
      <c r="G288" s="42" t="str">
        <f t="shared" si="4"/>
        <v/>
      </c>
      <c r="H288" s="40"/>
      <c r="I288" s="43" t="str">
        <f>IF(OR(B288="",C288=""),"",IF(COUNTIFS(재료목록!$A$2:$A$51,B288,재료목록!$B$2:$B$51,C288)&gt;0,"OK","불일치"))</f>
        <v/>
      </c>
    </row>
    <row r="289" spans="1:9" ht="17" customHeight="1" x14ac:dyDescent="0.35">
      <c r="A289" s="39"/>
      <c r="B289" s="40" t="s">
        <v>22</v>
      </c>
      <c r="C289" s="40"/>
      <c r="D289" s="41" t="s">
        <v>77</v>
      </c>
      <c r="E289" s="40"/>
      <c r="F289" s="40"/>
      <c r="G289" s="42" t="str">
        <f t="shared" si="4"/>
        <v/>
      </c>
      <c r="H289" s="40"/>
      <c r="I289" s="43" t="str">
        <f>IF(OR(B289="",C289=""),"",IF(COUNTIFS(재료목록!$A$2:$A$51,B289,재료목록!$B$2:$B$51,C289)&gt;0,"OK","불일치"))</f>
        <v/>
      </c>
    </row>
    <row r="290" spans="1:9" ht="17" customHeight="1" x14ac:dyDescent="0.35">
      <c r="A290" s="39"/>
      <c r="B290" s="40" t="s">
        <v>22</v>
      </c>
      <c r="C290" s="40"/>
      <c r="D290" s="41" t="s">
        <v>77</v>
      </c>
      <c r="E290" s="40"/>
      <c r="F290" s="40"/>
      <c r="G290" s="42" t="str">
        <f t="shared" si="4"/>
        <v/>
      </c>
      <c r="H290" s="40"/>
      <c r="I290" s="43" t="str">
        <f>IF(OR(B290="",C290=""),"",IF(COUNTIFS(재료목록!$A$2:$A$51,B290,재료목록!$B$2:$B$51,C290)&gt;0,"OK","불일치"))</f>
        <v/>
      </c>
    </row>
    <row r="291" spans="1:9" ht="17" customHeight="1" x14ac:dyDescent="0.35">
      <c r="A291" s="39"/>
      <c r="B291" s="40" t="s">
        <v>22</v>
      </c>
      <c r="C291" s="40"/>
      <c r="D291" s="41" t="s">
        <v>77</v>
      </c>
      <c r="E291" s="40"/>
      <c r="F291" s="40"/>
      <c r="G291" s="42" t="str">
        <f t="shared" si="4"/>
        <v/>
      </c>
      <c r="H291" s="40"/>
      <c r="I291" s="43" t="str">
        <f>IF(OR(B291="",C291=""),"",IF(COUNTIFS(재료목록!$A$2:$A$51,B291,재료목록!$B$2:$B$51,C291)&gt;0,"OK","불일치"))</f>
        <v/>
      </c>
    </row>
    <row r="292" spans="1:9" ht="17" customHeight="1" x14ac:dyDescent="0.35">
      <c r="A292" s="39"/>
      <c r="B292" s="40" t="s">
        <v>22</v>
      </c>
      <c r="C292" s="40"/>
      <c r="D292" s="41" t="s">
        <v>77</v>
      </c>
      <c r="E292" s="40"/>
      <c r="F292" s="40"/>
      <c r="G292" s="42" t="str">
        <f t="shared" si="4"/>
        <v/>
      </c>
      <c r="H292" s="40"/>
      <c r="I292" s="43" t="str">
        <f>IF(OR(B292="",C292=""),"",IF(COUNTIFS(재료목록!$A$2:$A$51,B292,재료목록!$B$2:$B$51,C292)&gt;0,"OK","불일치"))</f>
        <v/>
      </c>
    </row>
    <row r="293" spans="1:9" ht="17" customHeight="1" x14ac:dyDescent="0.35">
      <c r="A293" s="39"/>
      <c r="B293" s="40" t="s">
        <v>22</v>
      </c>
      <c r="C293" s="40"/>
      <c r="D293" s="41" t="s">
        <v>77</v>
      </c>
      <c r="E293" s="40"/>
      <c r="F293" s="40"/>
      <c r="G293" s="42" t="str">
        <f t="shared" si="4"/>
        <v/>
      </c>
      <c r="H293" s="40"/>
      <c r="I293" s="43" t="str">
        <f>IF(OR(B293="",C293=""),"",IF(COUNTIFS(재료목록!$A$2:$A$51,B293,재료목록!$B$2:$B$51,C293)&gt;0,"OK","불일치"))</f>
        <v/>
      </c>
    </row>
    <row r="294" spans="1:9" ht="17" customHeight="1" x14ac:dyDescent="0.35">
      <c r="A294" s="39"/>
      <c r="B294" s="40" t="s">
        <v>22</v>
      </c>
      <c r="C294" s="40"/>
      <c r="D294" s="41" t="s">
        <v>77</v>
      </c>
      <c r="E294" s="40"/>
      <c r="F294" s="40"/>
      <c r="G294" s="42" t="str">
        <f t="shared" si="4"/>
        <v/>
      </c>
      <c r="H294" s="40"/>
      <c r="I294" s="43" t="str">
        <f>IF(OR(B294="",C294=""),"",IF(COUNTIFS(재료목록!$A$2:$A$51,B294,재료목록!$B$2:$B$51,C294)&gt;0,"OK","불일치"))</f>
        <v/>
      </c>
    </row>
    <row r="295" spans="1:9" ht="17" customHeight="1" x14ac:dyDescent="0.35">
      <c r="A295" s="39"/>
      <c r="B295" s="40" t="s">
        <v>22</v>
      </c>
      <c r="C295" s="40"/>
      <c r="D295" s="41" t="s">
        <v>77</v>
      </c>
      <c r="E295" s="40"/>
      <c r="F295" s="40"/>
      <c r="G295" s="42" t="str">
        <f t="shared" si="4"/>
        <v/>
      </c>
      <c r="H295" s="40"/>
      <c r="I295" s="43" t="str">
        <f>IF(OR(B295="",C295=""),"",IF(COUNTIFS(재료목록!$A$2:$A$51,B295,재료목록!$B$2:$B$51,C295)&gt;0,"OK","불일치"))</f>
        <v/>
      </c>
    </row>
    <row r="296" spans="1:9" ht="17" customHeight="1" x14ac:dyDescent="0.35">
      <c r="A296" s="39"/>
      <c r="B296" s="40" t="s">
        <v>22</v>
      </c>
      <c r="C296" s="40"/>
      <c r="D296" s="41" t="s">
        <v>77</v>
      </c>
      <c r="E296" s="40"/>
      <c r="F296" s="40"/>
      <c r="G296" s="42" t="str">
        <f t="shared" si="4"/>
        <v/>
      </c>
      <c r="H296" s="40"/>
      <c r="I296" s="43" t="str">
        <f>IF(OR(B296="",C296=""),"",IF(COUNTIFS(재료목록!$A$2:$A$51,B296,재료목록!$B$2:$B$51,C296)&gt;0,"OK","불일치"))</f>
        <v/>
      </c>
    </row>
    <row r="297" spans="1:9" ht="17" customHeight="1" x14ac:dyDescent="0.35">
      <c r="A297" s="39"/>
      <c r="B297" s="40" t="s">
        <v>22</v>
      </c>
      <c r="C297" s="40"/>
      <c r="D297" s="41" t="s">
        <v>77</v>
      </c>
      <c r="E297" s="40"/>
      <c r="F297" s="40"/>
      <c r="G297" s="42" t="str">
        <f t="shared" si="4"/>
        <v/>
      </c>
      <c r="H297" s="40"/>
      <c r="I297" s="43" t="str">
        <f>IF(OR(B297="",C297=""),"",IF(COUNTIFS(재료목록!$A$2:$A$51,B297,재료목록!$B$2:$B$51,C297)&gt;0,"OK","불일치"))</f>
        <v/>
      </c>
    </row>
    <row r="298" spans="1:9" ht="17" customHeight="1" x14ac:dyDescent="0.35">
      <c r="A298" s="39"/>
      <c r="B298" s="40" t="s">
        <v>22</v>
      </c>
      <c r="C298" s="40"/>
      <c r="D298" s="41" t="s">
        <v>77</v>
      </c>
      <c r="E298" s="40"/>
      <c r="F298" s="40"/>
      <c r="G298" s="42" t="str">
        <f t="shared" si="4"/>
        <v/>
      </c>
      <c r="H298" s="40"/>
      <c r="I298" s="43" t="str">
        <f>IF(OR(B298="",C298=""),"",IF(COUNTIFS(재료목록!$A$2:$A$51,B298,재료목록!$B$2:$B$51,C298)&gt;0,"OK","불일치"))</f>
        <v/>
      </c>
    </row>
    <row r="299" spans="1:9" ht="17" customHeight="1" x14ac:dyDescent="0.35">
      <c r="A299" s="39"/>
      <c r="B299" s="40" t="s">
        <v>22</v>
      </c>
      <c r="C299" s="40"/>
      <c r="D299" s="41" t="s">
        <v>77</v>
      </c>
      <c r="E299" s="40"/>
      <c r="F299" s="40"/>
      <c r="G299" s="42" t="str">
        <f t="shared" si="4"/>
        <v/>
      </c>
      <c r="H299" s="40"/>
      <c r="I299" s="43" t="str">
        <f>IF(OR(B299="",C299=""),"",IF(COUNTIFS(재료목록!$A$2:$A$51,B299,재료목록!$B$2:$B$51,C299)&gt;0,"OK","불일치"))</f>
        <v/>
      </c>
    </row>
    <row r="300" spans="1:9" ht="17" customHeight="1" x14ac:dyDescent="0.35">
      <c r="A300" s="39"/>
      <c r="B300" s="40" t="s">
        <v>22</v>
      </c>
      <c r="C300" s="40"/>
      <c r="D300" s="41" t="s">
        <v>77</v>
      </c>
      <c r="E300" s="40"/>
      <c r="F300" s="40"/>
      <c r="G300" s="42" t="str">
        <f t="shared" si="4"/>
        <v/>
      </c>
      <c r="H300" s="40"/>
      <c r="I300" s="43" t="str">
        <f>IF(OR(B300="",C300=""),"",IF(COUNTIFS(재료목록!$A$2:$A$51,B300,재료목록!$B$2:$B$51,C300)&gt;0,"OK","불일치"))</f>
        <v/>
      </c>
    </row>
    <row r="301" spans="1:9" ht="17" customHeight="1" x14ac:dyDescent="0.35">
      <c r="A301" s="39"/>
      <c r="B301" s="40" t="s">
        <v>22</v>
      </c>
      <c r="C301" s="40"/>
      <c r="D301" s="41" t="s">
        <v>77</v>
      </c>
      <c r="E301" s="40"/>
      <c r="F301" s="40"/>
      <c r="G301" s="42" t="str">
        <f t="shared" si="4"/>
        <v/>
      </c>
      <c r="H301" s="40"/>
      <c r="I301" s="43" t="str">
        <f>IF(OR(B301="",C301=""),"",IF(COUNTIFS(재료목록!$A$2:$A$51,B301,재료목록!$B$2:$B$51,C301)&gt;0,"OK","불일치"))</f>
        <v/>
      </c>
    </row>
    <row r="302" spans="1:9" ht="17" customHeight="1" x14ac:dyDescent="0.35">
      <c r="A302" s="39"/>
      <c r="B302" s="40" t="s">
        <v>22</v>
      </c>
      <c r="C302" s="40"/>
      <c r="D302" s="41" t="s">
        <v>77</v>
      </c>
      <c r="E302" s="40"/>
      <c r="F302" s="40"/>
      <c r="G302" s="42" t="str">
        <f t="shared" si="4"/>
        <v/>
      </c>
      <c r="H302" s="40"/>
      <c r="I302" s="43" t="str">
        <f>IF(OR(B302="",C302=""),"",IF(COUNTIFS(재료목록!$A$2:$A$51,B302,재료목록!$B$2:$B$51,C302)&gt;0,"OK","불일치"))</f>
        <v/>
      </c>
    </row>
    <row r="303" spans="1:9" ht="17" customHeight="1" x14ac:dyDescent="0.35">
      <c r="A303" s="39"/>
      <c r="B303" s="40" t="s">
        <v>22</v>
      </c>
      <c r="C303" s="40"/>
      <c r="D303" s="41" t="s">
        <v>77</v>
      </c>
      <c r="E303" s="40"/>
      <c r="F303" s="40"/>
      <c r="G303" s="42" t="str">
        <f t="shared" si="4"/>
        <v/>
      </c>
      <c r="H303" s="40"/>
      <c r="I303" s="43" t="str">
        <f>IF(OR(B303="",C303=""),"",IF(COUNTIFS(재료목록!$A$2:$A$51,B303,재료목록!$B$2:$B$51,C303)&gt;0,"OK","불일치"))</f>
        <v/>
      </c>
    </row>
    <row r="304" spans="1:9" ht="17" customHeight="1" x14ac:dyDescent="0.35">
      <c r="A304" s="39"/>
      <c r="B304" s="40" t="s">
        <v>22</v>
      </c>
      <c r="C304" s="40"/>
      <c r="D304" s="41" t="s">
        <v>77</v>
      </c>
      <c r="E304" s="40"/>
      <c r="F304" s="40"/>
      <c r="G304" s="42" t="str">
        <f t="shared" si="4"/>
        <v/>
      </c>
      <c r="H304" s="40"/>
      <c r="I304" s="43" t="str">
        <f>IF(OR(B304="",C304=""),"",IF(COUNTIFS(재료목록!$A$2:$A$51,B304,재료목록!$B$2:$B$51,C304)&gt;0,"OK","불일치"))</f>
        <v/>
      </c>
    </row>
    <row r="305" spans="1:9" ht="17" customHeight="1" x14ac:dyDescent="0.35">
      <c r="A305" s="39"/>
      <c r="B305" s="40" t="s">
        <v>22</v>
      </c>
      <c r="C305" s="40"/>
      <c r="D305" s="41" t="s">
        <v>77</v>
      </c>
      <c r="E305" s="40"/>
      <c r="F305" s="40"/>
      <c r="G305" s="42" t="str">
        <f t="shared" si="4"/>
        <v/>
      </c>
      <c r="H305" s="40"/>
      <c r="I305" s="43" t="str">
        <f>IF(OR(B305="",C305=""),"",IF(COUNTIFS(재료목록!$A$2:$A$51,B305,재료목록!$B$2:$B$51,C305)&gt;0,"OK","불일치"))</f>
        <v/>
      </c>
    </row>
    <row r="306" spans="1:9" ht="17" customHeight="1" x14ac:dyDescent="0.35">
      <c r="A306" s="39"/>
      <c r="B306" s="40" t="s">
        <v>22</v>
      </c>
      <c r="C306" s="40"/>
      <c r="D306" s="41" t="s">
        <v>77</v>
      </c>
      <c r="E306" s="40"/>
      <c r="F306" s="40"/>
      <c r="G306" s="42" t="str">
        <f t="shared" si="4"/>
        <v/>
      </c>
      <c r="H306" s="40"/>
      <c r="I306" s="43" t="str">
        <f>IF(OR(B306="",C306=""),"",IF(COUNTIFS(재료목록!$A$2:$A$51,B306,재료목록!$B$2:$B$51,C306)&gt;0,"OK","불일치"))</f>
        <v/>
      </c>
    </row>
    <row r="307" spans="1:9" ht="17" customHeight="1" x14ac:dyDescent="0.35">
      <c r="A307" s="39"/>
      <c r="B307" s="40" t="s">
        <v>22</v>
      </c>
      <c r="C307" s="40"/>
      <c r="D307" s="41" t="s">
        <v>77</v>
      </c>
      <c r="E307" s="40"/>
      <c r="F307" s="40"/>
      <c r="G307" s="42" t="str">
        <f t="shared" si="4"/>
        <v/>
      </c>
      <c r="H307" s="40"/>
      <c r="I307" s="43" t="str">
        <f>IF(OR(B307="",C307=""),"",IF(COUNTIFS(재료목록!$A$2:$A$51,B307,재료목록!$B$2:$B$51,C307)&gt;0,"OK","불일치"))</f>
        <v/>
      </c>
    </row>
    <row r="308" spans="1:9" ht="17" customHeight="1" x14ac:dyDescent="0.35">
      <c r="A308" s="39"/>
      <c r="B308" s="40" t="s">
        <v>22</v>
      </c>
      <c r="C308" s="40"/>
      <c r="D308" s="41" t="s">
        <v>77</v>
      </c>
      <c r="E308" s="40"/>
      <c r="F308" s="40"/>
      <c r="G308" s="42" t="str">
        <f t="shared" si="4"/>
        <v/>
      </c>
      <c r="H308" s="40"/>
      <c r="I308" s="43" t="str">
        <f>IF(OR(B308="",C308=""),"",IF(COUNTIFS(재료목록!$A$2:$A$51,B308,재료목록!$B$2:$B$51,C308)&gt;0,"OK","불일치"))</f>
        <v/>
      </c>
    </row>
    <row r="309" spans="1:9" ht="17" customHeight="1" x14ac:dyDescent="0.35">
      <c r="A309" s="39"/>
      <c r="B309" s="40" t="s">
        <v>22</v>
      </c>
      <c r="C309" s="40"/>
      <c r="D309" s="41" t="s">
        <v>77</v>
      </c>
      <c r="E309" s="40"/>
      <c r="F309" s="40"/>
      <c r="G309" s="42" t="str">
        <f t="shared" si="4"/>
        <v/>
      </c>
      <c r="H309" s="40"/>
      <c r="I309" s="43" t="str">
        <f>IF(OR(B309="",C309=""),"",IF(COUNTIFS(재료목록!$A$2:$A$51,B309,재료목록!$B$2:$B$51,C309)&gt;0,"OK","불일치"))</f>
        <v/>
      </c>
    </row>
    <row r="310" spans="1:9" ht="17" customHeight="1" x14ac:dyDescent="0.35">
      <c r="A310" s="39"/>
      <c r="B310" s="40" t="s">
        <v>22</v>
      </c>
      <c r="C310" s="40"/>
      <c r="D310" s="41" t="s">
        <v>77</v>
      </c>
      <c r="E310" s="40"/>
      <c r="F310" s="40"/>
      <c r="G310" s="42" t="str">
        <f t="shared" si="4"/>
        <v/>
      </c>
      <c r="H310" s="40"/>
      <c r="I310" s="43" t="str">
        <f>IF(OR(B310="",C310=""),"",IF(COUNTIFS(재료목록!$A$2:$A$51,B310,재료목록!$B$2:$B$51,C310)&gt;0,"OK","불일치"))</f>
        <v/>
      </c>
    </row>
    <row r="311" spans="1:9" ht="17" customHeight="1" x14ac:dyDescent="0.35">
      <c r="A311" s="39"/>
      <c r="B311" s="40" t="s">
        <v>22</v>
      </c>
      <c r="C311" s="40"/>
      <c r="D311" s="41" t="s">
        <v>77</v>
      </c>
      <c r="E311" s="40"/>
      <c r="F311" s="40"/>
      <c r="G311" s="42" t="str">
        <f t="shared" si="4"/>
        <v/>
      </c>
      <c r="H311" s="40"/>
      <c r="I311" s="43" t="str">
        <f>IF(OR(B311="",C311=""),"",IF(COUNTIFS(재료목록!$A$2:$A$51,B311,재료목록!$B$2:$B$51,C311)&gt;0,"OK","불일치"))</f>
        <v/>
      </c>
    </row>
    <row r="312" spans="1:9" ht="17" customHeight="1" x14ac:dyDescent="0.35">
      <c r="A312" s="39"/>
      <c r="B312" s="40" t="s">
        <v>22</v>
      </c>
      <c r="C312" s="40"/>
      <c r="D312" s="41" t="s">
        <v>77</v>
      </c>
      <c r="E312" s="40"/>
      <c r="F312" s="40"/>
      <c r="G312" s="42" t="str">
        <f t="shared" si="4"/>
        <v/>
      </c>
      <c r="H312" s="40"/>
      <c r="I312" s="43" t="str">
        <f>IF(OR(B312="",C312=""),"",IF(COUNTIFS(재료목록!$A$2:$A$51,B312,재료목록!$B$2:$B$51,C312)&gt;0,"OK","불일치"))</f>
        <v/>
      </c>
    </row>
    <row r="313" spans="1:9" ht="17" customHeight="1" x14ac:dyDescent="0.35">
      <c r="A313" s="39"/>
      <c r="B313" s="40" t="s">
        <v>22</v>
      </c>
      <c r="C313" s="40"/>
      <c r="D313" s="41" t="s">
        <v>77</v>
      </c>
      <c r="E313" s="40"/>
      <c r="F313" s="40"/>
      <c r="G313" s="42" t="str">
        <f t="shared" si="4"/>
        <v/>
      </c>
      <c r="H313" s="40"/>
      <c r="I313" s="43" t="str">
        <f>IF(OR(B313="",C313=""),"",IF(COUNTIFS(재료목록!$A$2:$A$51,B313,재료목록!$B$2:$B$51,C313)&gt;0,"OK","불일치"))</f>
        <v/>
      </c>
    </row>
    <row r="314" spans="1:9" ht="17" customHeight="1" x14ac:dyDescent="0.35">
      <c r="A314" s="39"/>
      <c r="B314" s="40" t="s">
        <v>22</v>
      </c>
      <c r="C314" s="40"/>
      <c r="D314" s="41" t="s">
        <v>77</v>
      </c>
      <c r="E314" s="40"/>
      <c r="F314" s="40"/>
      <c r="G314" s="42" t="str">
        <f t="shared" si="4"/>
        <v/>
      </c>
      <c r="H314" s="40"/>
      <c r="I314" s="43" t="str">
        <f>IF(OR(B314="",C314=""),"",IF(COUNTIFS(재료목록!$A$2:$A$51,B314,재료목록!$B$2:$B$51,C314)&gt;0,"OK","불일치"))</f>
        <v/>
      </c>
    </row>
    <row r="315" spans="1:9" ht="17" customHeight="1" x14ac:dyDescent="0.35">
      <c r="A315" s="39"/>
      <c r="B315" s="40" t="s">
        <v>22</v>
      </c>
      <c r="C315" s="40"/>
      <c r="D315" s="41" t="s">
        <v>77</v>
      </c>
      <c r="E315" s="40"/>
      <c r="F315" s="40"/>
      <c r="G315" s="42" t="str">
        <f t="shared" si="4"/>
        <v/>
      </c>
      <c r="H315" s="40"/>
      <c r="I315" s="43" t="str">
        <f>IF(OR(B315="",C315=""),"",IF(COUNTIFS(재료목록!$A$2:$A$51,B315,재료목록!$B$2:$B$51,C315)&gt;0,"OK","불일치"))</f>
        <v/>
      </c>
    </row>
    <row r="316" spans="1:9" ht="17" customHeight="1" x14ac:dyDescent="0.35">
      <c r="A316" s="39"/>
      <c r="B316" s="40" t="s">
        <v>22</v>
      </c>
      <c r="C316" s="40"/>
      <c r="D316" s="41" t="s">
        <v>77</v>
      </c>
      <c r="E316" s="40"/>
      <c r="F316" s="40"/>
      <c r="G316" s="42" t="str">
        <f t="shared" si="4"/>
        <v/>
      </c>
      <c r="H316" s="40"/>
      <c r="I316" s="43" t="str">
        <f>IF(OR(B316="",C316=""),"",IF(COUNTIFS(재료목록!$A$2:$A$51,B316,재료목록!$B$2:$B$51,C316)&gt;0,"OK","불일치"))</f>
        <v/>
      </c>
    </row>
    <row r="317" spans="1:9" ht="17" customHeight="1" x14ac:dyDescent="0.35">
      <c r="A317" s="39"/>
      <c r="B317" s="40" t="s">
        <v>22</v>
      </c>
      <c r="C317" s="40"/>
      <c r="D317" s="41" t="s">
        <v>77</v>
      </c>
      <c r="E317" s="40"/>
      <c r="F317" s="40"/>
      <c r="G317" s="42" t="str">
        <f t="shared" si="4"/>
        <v/>
      </c>
      <c r="H317" s="40"/>
      <c r="I317" s="43" t="str">
        <f>IF(OR(B317="",C317=""),"",IF(COUNTIFS(재료목록!$A$2:$A$51,B317,재료목록!$B$2:$B$51,C317)&gt;0,"OK","불일치"))</f>
        <v/>
      </c>
    </row>
    <row r="318" spans="1:9" ht="17" customHeight="1" x14ac:dyDescent="0.35">
      <c r="A318" s="39"/>
      <c r="B318" s="40" t="s">
        <v>22</v>
      </c>
      <c r="C318" s="40"/>
      <c r="D318" s="41" t="s">
        <v>77</v>
      </c>
      <c r="E318" s="40"/>
      <c r="F318" s="40"/>
      <c r="G318" s="42" t="str">
        <f t="shared" si="4"/>
        <v/>
      </c>
      <c r="H318" s="40"/>
      <c r="I318" s="43" t="str">
        <f>IF(OR(B318="",C318=""),"",IF(COUNTIFS(재료목록!$A$2:$A$51,B318,재료목록!$B$2:$B$51,C318)&gt;0,"OK","불일치"))</f>
        <v/>
      </c>
    </row>
    <row r="319" spans="1:9" ht="17" customHeight="1" x14ac:dyDescent="0.35">
      <c r="A319" s="39"/>
      <c r="B319" s="40" t="s">
        <v>22</v>
      </c>
      <c r="C319" s="40"/>
      <c r="D319" s="41" t="s">
        <v>77</v>
      </c>
      <c r="E319" s="40"/>
      <c r="F319" s="40"/>
      <c r="G319" s="42" t="str">
        <f t="shared" si="4"/>
        <v/>
      </c>
      <c r="H319" s="40"/>
      <c r="I319" s="43" t="str">
        <f>IF(OR(B319="",C319=""),"",IF(COUNTIFS(재료목록!$A$2:$A$51,B319,재료목록!$B$2:$B$51,C319)&gt;0,"OK","불일치"))</f>
        <v/>
      </c>
    </row>
    <row r="320" spans="1:9" ht="17" customHeight="1" x14ac:dyDescent="0.35">
      <c r="A320" s="39"/>
      <c r="B320" s="40" t="s">
        <v>22</v>
      </c>
      <c r="C320" s="40"/>
      <c r="D320" s="41" t="s">
        <v>77</v>
      </c>
      <c r="E320" s="40"/>
      <c r="F320" s="40"/>
      <c r="G320" s="42" t="str">
        <f t="shared" si="4"/>
        <v/>
      </c>
      <c r="H320" s="40"/>
      <c r="I320" s="43" t="str">
        <f>IF(OR(B320="",C320=""),"",IF(COUNTIFS(재료목록!$A$2:$A$51,B320,재료목록!$B$2:$B$51,C320)&gt;0,"OK","불일치"))</f>
        <v/>
      </c>
    </row>
    <row r="321" spans="1:9" ht="17" customHeight="1" x14ac:dyDescent="0.35">
      <c r="A321" s="39"/>
      <c r="B321" s="40" t="s">
        <v>22</v>
      </c>
      <c r="C321" s="40"/>
      <c r="D321" s="41" t="s">
        <v>77</v>
      </c>
      <c r="E321" s="40"/>
      <c r="F321" s="40"/>
      <c r="G321" s="42" t="str">
        <f t="shared" si="4"/>
        <v/>
      </c>
      <c r="H321" s="40"/>
      <c r="I321" s="43" t="str">
        <f>IF(OR(B321="",C321=""),"",IF(COUNTIFS(재료목록!$A$2:$A$51,B321,재료목록!$B$2:$B$51,C321)&gt;0,"OK","불일치"))</f>
        <v/>
      </c>
    </row>
    <row r="322" spans="1:9" ht="17" customHeight="1" x14ac:dyDescent="0.35">
      <c r="A322" s="39"/>
      <c r="B322" s="40" t="s">
        <v>22</v>
      </c>
      <c r="C322" s="40"/>
      <c r="D322" s="41" t="s">
        <v>77</v>
      </c>
      <c r="E322" s="40"/>
      <c r="F322" s="40"/>
      <c r="G322" s="42" t="str">
        <f t="shared" ref="G322:G385" si="5">IF(OR(E322="",F322=""),"",E322*F322)</f>
        <v/>
      </c>
      <c r="H322" s="40"/>
      <c r="I322" s="43" t="str">
        <f>IF(OR(B322="",C322=""),"",IF(COUNTIFS(재료목록!$A$2:$A$51,B322,재료목록!$B$2:$B$51,C322)&gt;0,"OK","불일치"))</f>
        <v/>
      </c>
    </row>
    <row r="323" spans="1:9" ht="17" customHeight="1" x14ac:dyDescent="0.35">
      <c r="A323" s="39"/>
      <c r="B323" s="40" t="s">
        <v>22</v>
      </c>
      <c r="C323" s="40"/>
      <c r="D323" s="41" t="s">
        <v>77</v>
      </c>
      <c r="E323" s="40"/>
      <c r="F323" s="40"/>
      <c r="G323" s="42" t="str">
        <f t="shared" si="5"/>
        <v/>
      </c>
      <c r="H323" s="40"/>
      <c r="I323" s="43" t="str">
        <f>IF(OR(B323="",C323=""),"",IF(COUNTIFS(재료목록!$A$2:$A$51,B323,재료목록!$B$2:$B$51,C323)&gt;0,"OK","불일치"))</f>
        <v/>
      </c>
    </row>
    <row r="324" spans="1:9" ht="17" customHeight="1" x14ac:dyDescent="0.35">
      <c r="A324" s="39"/>
      <c r="B324" s="40" t="s">
        <v>22</v>
      </c>
      <c r="C324" s="40"/>
      <c r="D324" s="41" t="s">
        <v>77</v>
      </c>
      <c r="E324" s="40"/>
      <c r="F324" s="40"/>
      <c r="G324" s="42" t="str">
        <f t="shared" si="5"/>
        <v/>
      </c>
      <c r="H324" s="40"/>
      <c r="I324" s="43" t="str">
        <f>IF(OR(B324="",C324=""),"",IF(COUNTIFS(재료목록!$A$2:$A$51,B324,재료목록!$B$2:$B$51,C324)&gt;0,"OK","불일치"))</f>
        <v/>
      </c>
    </row>
    <row r="325" spans="1:9" ht="17" customHeight="1" x14ac:dyDescent="0.35">
      <c r="A325" s="39"/>
      <c r="B325" s="40" t="s">
        <v>22</v>
      </c>
      <c r="C325" s="40"/>
      <c r="D325" s="41" t="s">
        <v>77</v>
      </c>
      <c r="E325" s="40"/>
      <c r="F325" s="40"/>
      <c r="G325" s="42" t="str">
        <f t="shared" si="5"/>
        <v/>
      </c>
      <c r="H325" s="40"/>
      <c r="I325" s="43" t="str">
        <f>IF(OR(B325="",C325=""),"",IF(COUNTIFS(재료목록!$A$2:$A$51,B325,재료목록!$B$2:$B$51,C325)&gt;0,"OK","불일치"))</f>
        <v/>
      </c>
    </row>
    <row r="326" spans="1:9" ht="17" customHeight="1" x14ac:dyDescent="0.35">
      <c r="A326" s="39"/>
      <c r="B326" s="40" t="s">
        <v>22</v>
      </c>
      <c r="C326" s="40"/>
      <c r="D326" s="41" t="s">
        <v>77</v>
      </c>
      <c r="E326" s="40"/>
      <c r="F326" s="40"/>
      <c r="G326" s="42" t="str">
        <f t="shared" si="5"/>
        <v/>
      </c>
      <c r="H326" s="40"/>
      <c r="I326" s="43" t="str">
        <f>IF(OR(B326="",C326=""),"",IF(COUNTIFS(재료목록!$A$2:$A$51,B326,재료목록!$B$2:$B$51,C326)&gt;0,"OK","불일치"))</f>
        <v/>
      </c>
    </row>
    <row r="327" spans="1:9" ht="17" customHeight="1" x14ac:dyDescent="0.35">
      <c r="A327" s="39"/>
      <c r="B327" s="40" t="s">
        <v>22</v>
      </c>
      <c r="C327" s="40"/>
      <c r="D327" s="41" t="s">
        <v>77</v>
      </c>
      <c r="E327" s="40"/>
      <c r="F327" s="40"/>
      <c r="G327" s="42" t="str">
        <f t="shared" si="5"/>
        <v/>
      </c>
      <c r="H327" s="40"/>
      <c r="I327" s="43" t="str">
        <f>IF(OR(B327="",C327=""),"",IF(COUNTIFS(재료목록!$A$2:$A$51,B327,재료목록!$B$2:$B$51,C327)&gt;0,"OK","불일치"))</f>
        <v/>
      </c>
    </row>
    <row r="328" spans="1:9" ht="17" customHeight="1" x14ac:dyDescent="0.35">
      <c r="A328" s="39"/>
      <c r="B328" s="40" t="s">
        <v>22</v>
      </c>
      <c r="C328" s="40"/>
      <c r="D328" s="41" t="s">
        <v>77</v>
      </c>
      <c r="E328" s="40"/>
      <c r="F328" s="40"/>
      <c r="G328" s="42" t="str">
        <f t="shared" si="5"/>
        <v/>
      </c>
      <c r="H328" s="40"/>
      <c r="I328" s="43" t="str">
        <f>IF(OR(B328="",C328=""),"",IF(COUNTIFS(재료목록!$A$2:$A$51,B328,재료목록!$B$2:$B$51,C328)&gt;0,"OK","불일치"))</f>
        <v/>
      </c>
    </row>
    <row r="329" spans="1:9" ht="17" customHeight="1" x14ac:dyDescent="0.35">
      <c r="A329" s="39"/>
      <c r="B329" s="40" t="s">
        <v>22</v>
      </c>
      <c r="C329" s="40"/>
      <c r="D329" s="41" t="s">
        <v>77</v>
      </c>
      <c r="E329" s="40"/>
      <c r="F329" s="40"/>
      <c r="G329" s="42" t="str">
        <f t="shared" si="5"/>
        <v/>
      </c>
      <c r="H329" s="40"/>
      <c r="I329" s="43" t="str">
        <f>IF(OR(B329="",C329=""),"",IF(COUNTIFS(재료목록!$A$2:$A$51,B329,재료목록!$B$2:$B$51,C329)&gt;0,"OK","불일치"))</f>
        <v/>
      </c>
    </row>
    <row r="330" spans="1:9" ht="17" customHeight="1" x14ac:dyDescent="0.35">
      <c r="A330" s="39"/>
      <c r="B330" s="40" t="s">
        <v>22</v>
      </c>
      <c r="C330" s="40"/>
      <c r="D330" s="41" t="s">
        <v>77</v>
      </c>
      <c r="E330" s="40"/>
      <c r="F330" s="40"/>
      <c r="G330" s="42" t="str">
        <f t="shared" si="5"/>
        <v/>
      </c>
      <c r="H330" s="40"/>
      <c r="I330" s="43" t="str">
        <f>IF(OR(B330="",C330=""),"",IF(COUNTIFS(재료목록!$A$2:$A$51,B330,재료목록!$B$2:$B$51,C330)&gt;0,"OK","불일치"))</f>
        <v/>
      </c>
    </row>
    <row r="331" spans="1:9" ht="17" customHeight="1" x14ac:dyDescent="0.35">
      <c r="A331" s="39"/>
      <c r="B331" s="40" t="s">
        <v>22</v>
      </c>
      <c r="C331" s="40"/>
      <c r="D331" s="41" t="s">
        <v>77</v>
      </c>
      <c r="E331" s="40"/>
      <c r="F331" s="40"/>
      <c r="G331" s="42" t="str">
        <f t="shared" si="5"/>
        <v/>
      </c>
      <c r="H331" s="40"/>
      <c r="I331" s="43" t="str">
        <f>IF(OR(B331="",C331=""),"",IF(COUNTIFS(재료목록!$A$2:$A$51,B331,재료목록!$B$2:$B$51,C331)&gt;0,"OK","불일치"))</f>
        <v/>
      </c>
    </row>
    <row r="332" spans="1:9" ht="17" customHeight="1" x14ac:dyDescent="0.35">
      <c r="A332" s="39"/>
      <c r="B332" s="40" t="s">
        <v>22</v>
      </c>
      <c r="C332" s="40"/>
      <c r="D332" s="41" t="s">
        <v>77</v>
      </c>
      <c r="E332" s="40"/>
      <c r="F332" s="40"/>
      <c r="G332" s="42" t="str">
        <f t="shared" si="5"/>
        <v/>
      </c>
      <c r="H332" s="40"/>
      <c r="I332" s="43" t="str">
        <f>IF(OR(B332="",C332=""),"",IF(COUNTIFS(재료목록!$A$2:$A$51,B332,재료목록!$B$2:$B$51,C332)&gt;0,"OK","불일치"))</f>
        <v/>
      </c>
    </row>
    <row r="333" spans="1:9" ht="17" customHeight="1" x14ac:dyDescent="0.35">
      <c r="A333" s="39"/>
      <c r="B333" s="40" t="s">
        <v>22</v>
      </c>
      <c r="C333" s="40"/>
      <c r="D333" s="41" t="s">
        <v>77</v>
      </c>
      <c r="E333" s="40"/>
      <c r="F333" s="40"/>
      <c r="G333" s="42" t="str">
        <f t="shared" si="5"/>
        <v/>
      </c>
      <c r="H333" s="40"/>
      <c r="I333" s="43" t="str">
        <f>IF(OR(B333="",C333=""),"",IF(COUNTIFS(재료목록!$A$2:$A$51,B333,재료목록!$B$2:$B$51,C333)&gt;0,"OK","불일치"))</f>
        <v/>
      </c>
    </row>
    <row r="334" spans="1:9" ht="17" customHeight="1" x14ac:dyDescent="0.35">
      <c r="A334" s="39"/>
      <c r="B334" s="40" t="s">
        <v>22</v>
      </c>
      <c r="C334" s="40"/>
      <c r="D334" s="41" t="s">
        <v>77</v>
      </c>
      <c r="E334" s="40"/>
      <c r="F334" s="40"/>
      <c r="G334" s="42" t="str">
        <f t="shared" si="5"/>
        <v/>
      </c>
      <c r="H334" s="40"/>
      <c r="I334" s="43" t="str">
        <f>IF(OR(B334="",C334=""),"",IF(COUNTIFS(재료목록!$A$2:$A$51,B334,재료목록!$B$2:$B$51,C334)&gt;0,"OK","불일치"))</f>
        <v/>
      </c>
    </row>
    <row r="335" spans="1:9" ht="17" customHeight="1" x14ac:dyDescent="0.35">
      <c r="A335" s="39"/>
      <c r="B335" s="40" t="s">
        <v>22</v>
      </c>
      <c r="C335" s="40"/>
      <c r="D335" s="41" t="s">
        <v>77</v>
      </c>
      <c r="E335" s="40"/>
      <c r="F335" s="40"/>
      <c r="G335" s="42" t="str">
        <f t="shared" si="5"/>
        <v/>
      </c>
      <c r="H335" s="40"/>
      <c r="I335" s="43" t="str">
        <f>IF(OR(B335="",C335=""),"",IF(COUNTIFS(재료목록!$A$2:$A$51,B335,재료목록!$B$2:$B$51,C335)&gt;0,"OK","불일치"))</f>
        <v/>
      </c>
    </row>
    <row r="336" spans="1:9" ht="17" customHeight="1" x14ac:dyDescent="0.35">
      <c r="A336" s="39"/>
      <c r="B336" s="40" t="s">
        <v>22</v>
      </c>
      <c r="C336" s="40"/>
      <c r="D336" s="41" t="s">
        <v>77</v>
      </c>
      <c r="E336" s="40"/>
      <c r="F336" s="40"/>
      <c r="G336" s="42" t="str">
        <f t="shared" si="5"/>
        <v/>
      </c>
      <c r="H336" s="40"/>
      <c r="I336" s="43" t="str">
        <f>IF(OR(B336="",C336=""),"",IF(COUNTIFS(재료목록!$A$2:$A$51,B336,재료목록!$B$2:$B$51,C336)&gt;0,"OK","불일치"))</f>
        <v/>
      </c>
    </row>
    <row r="337" spans="1:9" ht="17" customHeight="1" x14ac:dyDescent="0.35">
      <c r="A337" s="39"/>
      <c r="B337" s="40" t="s">
        <v>22</v>
      </c>
      <c r="C337" s="40"/>
      <c r="D337" s="41" t="s">
        <v>77</v>
      </c>
      <c r="E337" s="40"/>
      <c r="F337" s="40"/>
      <c r="G337" s="42" t="str">
        <f t="shared" si="5"/>
        <v/>
      </c>
      <c r="H337" s="40"/>
      <c r="I337" s="43" t="str">
        <f>IF(OR(B337="",C337=""),"",IF(COUNTIFS(재료목록!$A$2:$A$51,B337,재료목록!$B$2:$B$51,C337)&gt;0,"OK","불일치"))</f>
        <v/>
      </c>
    </row>
    <row r="338" spans="1:9" ht="17" customHeight="1" x14ac:dyDescent="0.35">
      <c r="A338" s="39"/>
      <c r="B338" s="40" t="s">
        <v>22</v>
      </c>
      <c r="C338" s="40"/>
      <c r="D338" s="41" t="s">
        <v>77</v>
      </c>
      <c r="E338" s="40"/>
      <c r="F338" s="40"/>
      <c r="G338" s="42" t="str">
        <f t="shared" si="5"/>
        <v/>
      </c>
      <c r="H338" s="40"/>
      <c r="I338" s="43" t="str">
        <f>IF(OR(B338="",C338=""),"",IF(COUNTIFS(재료목록!$A$2:$A$51,B338,재료목록!$B$2:$B$51,C338)&gt;0,"OK","불일치"))</f>
        <v/>
      </c>
    </row>
    <row r="339" spans="1:9" ht="17" customHeight="1" x14ac:dyDescent="0.35">
      <c r="A339" s="39"/>
      <c r="B339" s="40" t="s">
        <v>22</v>
      </c>
      <c r="C339" s="40"/>
      <c r="D339" s="41" t="s">
        <v>77</v>
      </c>
      <c r="E339" s="40"/>
      <c r="F339" s="40"/>
      <c r="G339" s="42" t="str">
        <f t="shared" si="5"/>
        <v/>
      </c>
      <c r="H339" s="40"/>
      <c r="I339" s="43" t="str">
        <f>IF(OR(B339="",C339=""),"",IF(COUNTIFS(재료목록!$A$2:$A$51,B339,재료목록!$B$2:$B$51,C339)&gt;0,"OK","불일치"))</f>
        <v/>
      </c>
    </row>
    <row r="340" spans="1:9" ht="17" customHeight="1" x14ac:dyDescent="0.35">
      <c r="A340" s="39"/>
      <c r="B340" s="40" t="s">
        <v>22</v>
      </c>
      <c r="C340" s="40"/>
      <c r="D340" s="41" t="s">
        <v>77</v>
      </c>
      <c r="E340" s="40"/>
      <c r="F340" s="40"/>
      <c r="G340" s="42" t="str">
        <f t="shared" si="5"/>
        <v/>
      </c>
      <c r="H340" s="40"/>
      <c r="I340" s="43" t="str">
        <f>IF(OR(B340="",C340=""),"",IF(COUNTIFS(재료목록!$A$2:$A$51,B340,재료목록!$B$2:$B$51,C340)&gt;0,"OK","불일치"))</f>
        <v/>
      </c>
    </row>
    <row r="341" spans="1:9" ht="17" customHeight="1" x14ac:dyDescent="0.35">
      <c r="A341" s="39"/>
      <c r="B341" s="40" t="s">
        <v>22</v>
      </c>
      <c r="C341" s="40"/>
      <c r="D341" s="41" t="s">
        <v>77</v>
      </c>
      <c r="E341" s="40"/>
      <c r="F341" s="40"/>
      <c r="G341" s="42" t="str">
        <f t="shared" si="5"/>
        <v/>
      </c>
      <c r="H341" s="40"/>
      <c r="I341" s="43" t="str">
        <f>IF(OR(B341="",C341=""),"",IF(COUNTIFS(재료목록!$A$2:$A$51,B341,재료목록!$B$2:$B$51,C341)&gt;0,"OK","불일치"))</f>
        <v/>
      </c>
    </row>
    <row r="342" spans="1:9" ht="17" customHeight="1" x14ac:dyDescent="0.35">
      <c r="A342" s="39"/>
      <c r="B342" s="40" t="s">
        <v>22</v>
      </c>
      <c r="C342" s="40"/>
      <c r="D342" s="41" t="s">
        <v>77</v>
      </c>
      <c r="E342" s="40"/>
      <c r="F342" s="40"/>
      <c r="G342" s="42" t="str">
        <f t="shared" si="5"/>
        <v/>
      </c>
      <c r="H342" s="40"/>
      <c r="I342" s="43" t="str">
        <f>IF(OR(B342="",C342=""),"",IF(COUNTIFS(재료목록!$A$2:$A$51,B342,재료목록!$B$2:$B$51,C342)&gt;0,"OK","불일치"))</f>
        <v/>
      </c>
    </row>
    <row r="343" spans="1:9" ht="17" customHeight="1" x14ac:dyDescent="0.35">
      <c r="A343" s="39"/>
      <c r="B343" s="40" t="s">
        <v>22</v>
      </c>
      <c r="C343" s="40"/>
      <c r="D343" s="41" t="s">
        <v>77</v>
      </c>
      <c r="E343" s="40"/>
      <c r="F343" s="40"/>
      <c r="G343" s="42" t="str">
        <f t="shared" si="5"/>
        <v/>
      </c>
      <c r="H343" s="40"/>
      <c r="I343" s="43" t="str">
        <f>IF(OR(B343="",C343=""),"",IF(COUNTIFS(재료목록!$A$2:$A$51,B343,재료목록!$B$2:$B$51,C343)&gt;0,"OK","불일치"))</f>
        <v/>
      </c>
    </row>
    <row r="344" spans="1:9" ht="17" customHeight="1" x14ac:dyDescent="0.35">
      <c r="A344" s="39"/>
      <c r="B344" s="40" t="s">
        <v>22</v>
      </c>
      <c r="C344" s="40"/>
      <c r="D344" s="41" t="s">
        <v>77</v>
      </c>
      <c r="E344" s="40"/>
      <c r="F344" s="40"/>
      <c r="G344" s="42" t="str">
        <f t="shared" si="5"/>
        <v/>
      </c>
      <c r="H344" s="40"/>
      <c r="I344" s="43" t="str">
        <f>IF(OR(B344="",C344=""),"",IF(COUNTIFS(재료목록!$A$2:$A$51,B344,재료목록!$B$2:$B$51,C344)&gt;0,"OK","불일치"))</f>
        <v/>
      </c>
    </row>
    <row r="345" spans="1:9" ht="17" customHeight="1" x14ac:dyDescent="0.35">
      <c r="A345" s="39"/>
      <c r="B345" s="40" t="s">
        <v>22</v>
      </c>
      <c r="C345" s="40"/>
      <c r="D345" s="41" t="s">
        <v>77</v>
      </c>
      <c r="E345" s="40"/>
      <c r="F345" s="40"/>
      <c r="G345" s="42" t="str">
        <f t="shared" si="5"/>
        <v/>
      </c>
      <c r="H345" s="40"/>
      <c r="I345" s="43" t="str">
        <f>IF(OR(B345="",C345=""),"",IF(COUNTIFS(재료목록!$A$2:$A$51,B345,재료목록!$B$2:$B$51,C345)&gt;0,"OK","불일치"))</f>
        <v/>
      </c>
    </row>
    <row r="346" spans="1:9" ht="17" customHeight="1" x14ac:dyDescent="0.35">
      <c r="A346" s="39"/>
      <c r="B346" s="40" t="s">
        <v>22</v>
      </c>
      <c r="C346" s="40"/>
      <c r="D346" s="41" t="s">
        <v>77</v>
      </c>
      <c r="E346" s="40"/>
      <c r="F346" s="40"/>
      <c r="G346" s="42" t="str">
        <f t="shared" si="5"/>
        <v/>
      </c>
      <c r="H346" s="40"/>
      <c r="I346" s="43" t="str">
        <f>IF(OR(B346="",C346=""),"",IF(COUNTIFS(재료목록!$A$2:$A$51,B346,재료목록!$B$2:$B$51,C346)&gt;0,"OK","불일치"))</f>
        <v/>
      </c>
    </row>
    <row r="347" spans="1:9" ht="17" customHeight="1" x14ac:dyDescent="0.35">
      <c r="A347" s="39"/>
      <c r="B347" s="40" t="s">
        <v>22</v>
      </c>
      <c r="C347" s="40"/>
      <c r="D347" s="41" t="s">
        <v>77</v>
      </c>
      <c r="E347" s="40"/>
      <c r="F347" s="40"/>
      <c r="G347" s="42" t="str">
        <f t="shared" si="5"/>
        <v/>
      </c>
      <c r="H347" s="40"/>
      <c r="I347" s="43" t="str">
        <f>IF(OR(B347="",C347=""),"",IF(COUNTIFS(재료목록!$A$2:$A$51,B347,재료목록!$B$2:$B$51,C347)&gt;0,"OK","불일치"))</f>
        <v/>
      </c>
    </row>
    <row r="348" spans="1:9" ht="17" customHeight="1" x14ac:dyDescent="0.35">
      <c r="A348" s="39"/>
      <c r="B348" s="40" t="s">
        <v>22</v>
      </c>
      <c r="C348" s="40"/>
      <c r="D348" s="41" t="s">
        <v>77</v>
      </c>
      <c r="E348" s="40"/>
      <c r="F348" s="40"/>
      <c r="G348" s="42" t="str">
        <f t="shared" si="5"/>
        <v/>
      </c>
      <c r="H348" s="40"/>
      <c r="I348" s="43" t="str">
        <f>IF(OR(B348="",C348=""),"",IF(COUNTIFS(재료목록!$A$2:$A$51,B348,재료목록!$B$2:$B$51,C348)&gt;0,"OK","불일치"))</f>
        <v/>
      </c>
    </row>
    <row r="349" spans="1:9" ht="17" customHeight="1" x14ac:dyDescent="0.35">
      <c r="A349" s="39"/>
      <c r="B349" s="40" t="s">
        <v>22</v>
      </c>
      <c r="C349" s="40"/>
      <c r="D349" s="41" t="s">
        <v>77</v>
      </c>
      <c r="E349" s="40"/>
      <c r="F349" s="40"/>
      <c r="G349" s="42" t="str">
        <f t="shared" si="5"/>
        <v/>
      </c>
      <c r="H349" s="40"/>
      <c r="I349" s="43" t="str">
        <f>IF(OR(B349="",C349=""),"",IF(COUNTIFS(재료목록!$A$2:$A$51,B349,재료목록!$B$2:$B$51,C349)&gt;0,"OK","불일치"))</f>
        <v/>
      </c>
    </row>
    <row r="350" spans="1:9" ht="17" customHeight="1" x14ac:dyDescent="0.35">
      <c r="A350" s="39"/>
      <c r="B350" s="40" t="s">
        <v>22</v>
      </c>
      <c r="C350" s="40"/>
      <c r="D350" s="41" t="s">
        <v>77</v>
      </c>
      <c r="E350" s="40"/>
      <c r="F350" s="40"/>
      <c r="G350" s="42" t="str">
        <f t="shared" si="5"/>
        <v/>
      </c>
      <c r="H350" s="40"/>
      <c r="I350" s="43" t="str">
        <f>IF(OR(B350="",C350=""),"",IF(COUNTIFS(재료목록!$A$2:$A$51,B350,재료목록!$B$2:$B$51,C350)&gt;0,"OK","불일치"))</f>
        <v/>
      </c>
    </row>
    <row r="351" spans="1:9" ht="17" customHeight="1" x14ac:dyDescent="0.35">
      <c r="A351" s="39"/>
      <c r="B351" s="40" t="s">
        <v>22</v>
      </c>
      <c r="C351" s="40"/>
      <c r="D351" s="41" t="s">
        <v>77</v>
      </c>
      <c r="E351" s="40"/>
      <c r="F351" s="40"/>
      <c r="G351" s="42" t="str">
        <f t="shared" si="5"/>
        <v/>
      </c>
      <c r="H351" s="40"/>
      <c r="I351" s="43" t="str">
        <f>IF(OR(B351="",C351=""),"",IF(COUNTIFS(재료목록!$A$2:$A$51,B351,재료목록!$B$2:$B$51,C351)&gt;0,"OK","불일치"))</f>
        <v/>
      </c>
    </row>
    <row r="352" spans="1:9" ht="17" customHeight="1" x14ac:dyDescent="0.35">
      <c r="A352" s="39"/>
      <c r="B352" s="40" t="s">
        <v>22</v>
      </c>
      <c r="C352" s="40"/>
      <c r="D352" s="41" t="s">
        <v>77</v>
      </c>
      <c r="E352" s="40"/>
      <c r="F352" s="40"/>
      <c r="G352" s="42" t="str">
        <f t="shared" si="5"/>
        <v/>
      </c>
      <c r="H352" s="40"/>
      <c r="I352" s="43" t="str">
        <f>IF(OR(B352="",C352=""),"",IF(COUNTIFS(재료목록!$A$2:$A$51,B352,재료목록!$B$2:$B$51,C352)&gt;0,"OK","불일치"))</f>
        <v/>
      </c>
    </row>
    <row r="353" spans="1:9" ht="17" customHeight="1" x14ac:dyDescent="0.35">
      <c r="A353" s="39"/>
      <c r="B353" s="40" t="s">
        <v>22</v>
      </c>
      <c r="C353" s="40"/>
      <c r="D353" s="41" t="s">
        <v>77</v>
      </c>
      <c r="E353" s="40"/>
      <c r="F353" s="40"/>
      <c r="G353" s="42" t="str">
        <f t="shared" si="5"/>
        <v/>
      </c>
      <c r="H353" s="40"/>
      <c r="I353" s="43" t="str">
        <f>IF(OR(B353="",C353=""),"",IF(COUNTIFS(재료목록!$A$2:$A$51,B353,재료목록!$B$2:$B$51,C353)&gt;0,"OK","불일치"))</f>
        <v/>
      </c>
    </row>
    <row r="354" spans="1:9" ht="17" customHeight="1" x14ac:dyDescent="0.35">
      <c r="A354" s="39"/>
      <c r="B354" s="40" t="s">
        <v>22</v>
      </c>
      <c r="C354" s="40"/>
      <c r="D354" s="41" t="s">
        <v>77</v>
      </c>
      <c r="E354" s="40"/>
      <c r="F354" s="40"/>
      <c r="G354" s="42" t="str">
        <f t="shared" si="5"/>
        <v/>
      </c>
      <c r="H354" s="40"/>
      <c r="I354" s="43" t="str">
        <f>IF(OR(B354="",C354=""),"",IF(COUNTIFS(재료목록!$A$2:$A$51,B354,재료목록!$B$2:$B$51,C354)&gt;0,"OK","불일치"))</f>
        <v/>
      </c>
    </row>
    <row r="355" spans="1:9" ht="17" customHeight="1" x14ac:dyDescent="0.35">
      <c r="A355" s="39"/>
      <c r="B355" s="40" t="s">
        <v>22</v>
      </c>
      <c r="C355" s="40"/>
      <c r="D355" s="41" t="s">
        <v>77</v>
      </c>
      <c r="E355" s="40"/>
      <c r="F355" s="40"/>
      <c r="G355" s="42" t="str">
        <f t="shared" si="5"/>
        <v/>
      </c>
      <c r="H355" s="40"/>
      <c r="I355" s="43" t="str">
        <f>IF(OR(B355="",C355=""),"",IF(COUNTIFS(재료목록!$A$2:$A$51,B355,재료목록!$B$2:$B$51,C355)&gt;0,"OK","불일치"))</f>
        <v/>
      </c>
    </row>
    <row r="356" spans="1:9" ht="17" customHeight="1" x14ac:dyDescent="0.35">
      <c r="A356" s="39"/>
      <c r="B356" s="40" t="s">
        <v>22</v>
      </c>
      <c r="C356" s="40"/>
      <c r="D356" s="41" t="s">
        <v>77</v>
      </c>
      <c r="E356" s="40"/>
      <c r="F356" s="40"/>
      <c r="G356" s="42" t="str">
        <f t="shared" si="5"/>
        <v/>
      </c>
      <c r="H356" s="40"/>
      <c r="I356" s="43" t="str">
        <f>IF(OR(B356="",C356=""),"",IF(COUNTIFS(재료목록!$A$2:$A$51,B356,재료목록!$B$2:$B$51,C356)&gt;0,"OK","불일치"))</f>
        <v/>
      </c>
    </row>
    <row r="357" spans="1:9" ht="17" customHeight="1" x14ac:dyDescent="0.35">
      <c r="A357" s="39"/>
      <c r="B357" s="40" t="s">
        <v>22</v>
      </c>
      <c r="C357" s="40"/>
      <c r="D357" s="41" t="s">
        <v>77</v>
      </c>
      <c r="E357" s="40"/>
      <c r="F357" s="40"/>
      <c r="G357" s="42" t="str">
        <f t="shared" si="5"/>
        <v/>
      </c>
      <c r="H357" s="40"/>
      <c r="I357" s="43" t="str">
        <f>IF(OR(B357="",C357=""),"",IF(COUNTIFS(재료목록!$A$2:$A$51,B357,재료목록!$B$2:$B$51,C357)&gt;0,"OK","불일치"))</f>
        <v/>
      </c>
    </row>
    <row r="358" spans="1:9" ht="17" customHeight="1" x14ac:dyDescent="0.35">
      <c r="A358" s="39"/>
      <c r="B358" s="40" t="s">
        <v>22</v>
      </c>
      <c r="C358" s="40"/>
      <c r="D358" s="41" t="s">
        <v>77</v>
      </c>
      <c r="E358" s="40"/>
      <c r="F358" s="40"/>
      <c r="G358" s="42" t="str">
        <f t="shared" si="5"/>
        <v/>
      </c>
      <c r="H358" s="40"/>
      <c r="I358" s="43" t="str">
        <f>IF(OR(B358="",C358=""),"",IF(COUNTIFS(재료목록!$A$2:$A$51,B358,재료목록!$B$2:$B$51,C358)&gt;0,"OK","불일치"))</f>
        <v/>
      </c>
    </row>
    <row r="359" spans="1:9" ht="17" customHeight="1" x14ac:dyDescent="0.35">
      <c r="A359" s="39"/>
      <c r="B359" s="40" t="s">
        <v>22</v>
      </c>
      <c r="C359" s="40"/>
      <c r="D359" s="41" t="s">
        <v>77</v>
      </c>
      <c r="E359" s="40"/>
      <c r="F359" s="40"/>
      <c r="G359" s="42" t="str">
        <f t="shared" si="5"/>
        <v/>
      </c>
      <c r="H359" s="40"/>
      <c r="I359" s="43" t="str">
        <f>IF(OR(B359="",C359=""),"",IF(COUNTIFS(재료목록!$A$2:$A$51,B359,재료목록!$B$2:$B$51,C359)&gt;0,"OK","불일치"))</f>
        <v/>
      </c>
    </row>
    <row r="360" spans="1:9" ht="17" customHeight="1" x14ac:dyDescent="0.35">
      <c r="A360" s="39"/>
      <c r="B360" s="40" t="s">
        <v>22</v>
      </c>
      <c r="C360" s="40"/>
      <c r="D360" s="41" t="s">
        <v>77</v>
      </c>
      <c r="E360" s="40"/>
      <c r="F360" s="40"/>
      <c r="G360" s="42" t="str">
        <f t="shared" si="5"/>
        <v/>
      </c>
      <c r="H360" s="40"/>
      <c r="I360" s="43" t="str">
        <f>IF(OR(B360="",C360=""),"",IF(COUNTIFS(재료목록!$A$2:$A$51,B360,재료목록!$B$2:$B$51,C360)&gt;0,"OK","불일치"))</f>
        <v/>
      </c>
    </row>
    <row r="361" spans="1:9" ht="17" customHeight="1" x14ac:dyDescent="0.35">
      <c r="A361" s="39"/>
      <c r="B361" s="40" t="s">
        <v>22</v>
      </c>
      <c r="C361" s="40"/>
      <c r="D361" s="41" t="s">
        <v>77</v>
      </c>
      <c r="E361" s="40"/>
      <c r="F361" s="40"/>
      <c r="G361" s="42" t="str">
        <f t="shared" si="5"/>
        <v/>
      </c>
      <c r="H361" s="40"/>
      <c r="I361" s="43" t="str">
        <f>IF(OR(B361="",C361=""),"",IF(COUNTIFS(재료목록!$A$2:$A$51,B361,재료목록!$B$2:$B$51,C361)&gt;0,"OK","불일치"))</f>
        <v/>
      </c>
    </row>
    <row r="362" spans="1:9" ht="17" customHeight="1" x14ac:dyDescent="0.35">
      <c r="A362" s="39"/>
      <c r="B362" s="40" t="s">
        <v>22</v>
      </c>
      <c r="C362" s="40"/>
      <c r="D362" s="41" t="s">
        <v>77</v>
      </c>
      <c r="E362" s="40"/>
      <c r="F362" s="40"/>
      <c r="G362" s="42" t="str">
        <f t="shared" si="5"/>
        <v/>
      </c>
      <c r="H362" s="40"/>
      <c r="I362" s="43" t="str">
        <f>IF(OR(B362="",C362=""),"",IF(COUNTIFS(재료목록!$A$2:$A$51,B362,재료목록!$B$2:$B$51,C362)&gt;0,"OK","불일치"))</f>
        <v/>
      </c>
    </row>
    <row r="363" spans="1:9" ht="17" customHeight="1" x14ac:dyDescent="0.35">
      <c r="A363" s="39"/>
      <c r="B363" s="40" t="s">
        <v>22</v>
      </c>
      <c r="C363" s="40"/>
      <c r="D363" s="41" t="s">
        <v>77</v>
      </c>
      <c r="E363" s="40"/>
      <c r="F363" s="40"/>
      <c r="G363" s="42" t="str">
        <f t="shared" si="5"/>
        <v/>
      </c>
      <c r="H363" s="40"/>
      <c r="I363" s="43" t="str">
        <f>IF(OR(B363="",C363=""),"",IF(COUNTIFS(재료목록!$A$2:$A$51,B363,재료목록!$B$2:$B$51,C363)&gt;0,"OK","불일치"))</f>
        <v/>
      </c>
    </row>
    <row r="364" spans="1:9" ht="17" customHeight="1" x14ac:dyDescent="0.35">
      <c r="A364" s="39"/>
      <c r="B364" s="40" t="s">
        <v>22</v>
      </c>
      <c r="C364" s="40"/>
      <c r="D364" s="41" t="s">
        <v>77</v>
      </c>
      <c r="E364" s="40"/>
      <c r="F364" s="40"/>
      <c r="G364" s="42" t="str">
        <f t="shared" si="5"/>
        <v/>
      </c>
      <c r="H364" s="40"/>
      <c r="I364" s="43" t="str">
        <f>IF(OR(B364="",C364=""),"",IF(COUNTIFS(재료목록!$A$2:$A$51,B364,재료목록!$B$2:$B$51,C364)&gt;0,"OK","불일치"))</f>
        <v/>
      </c>
    </row>
    <row r="365" spans="1:9" ht="17" customHeight="1" x14ac:dyDescent="0.35">
      <c r="A365" s="39"/>
      <c r="B365" s="40" t="s">
        <v>22</v>
      </c>
      <c r="C365" s="40"/>
      <c r="D365" s="41" t="s">
        <v>77</v>
      </c>
      <c r="E365" s="40"/>
      <c r="F365" s="40"/>
      <c r="G365" s="42" t="str">
        <f t="shared" si="5"/>
        <v/>
      </c>
      <c r="H365" s="40"/>
      <c r="I365" s="43" t="str">
        <f>IF(OR(B365="",C365=""),"",IF(COUNTIFS(재료목록!$A$2:$A$51,B365,재료목록!$B$2:$B$51,C365)&gt;0,"OK","불일치"))</f>
        <v/>
      </c>
    </row>
    <row r="366" spans="1:9" ht="17" customHeight="1" x14ac:dyDescent="0.35">
      <c r="A366" s="39"/>
      <c r="B366" s="40" t="s">
        <v>22</v>
      </c>
      <c r="C366" s="40"/>
      <c r="D366" s="41" t="s">
        <v>77</v>
      </c>
      <c r="E366" s="40"/>
      <c r="F366" s="40"/>
      <c r="G366" s="42" t="str">
        <f t="shared" si="5"/>
        <v/>
      </c>
      <c r="H366" s="40"/>
      <c r="I366" s="43" t="str">
        <f>IF(OR(B366="",C366=""),"",IF(COUNTIFS(재료목록!$A$2:$A$51,B366,재료목록!$B$2:$B$51,C366)&gt;0,"OK","불일치"))</f>
        <v/>
      </c>
    </row>
    <row r="367" spans="1:9" ht="17" customHeight="1" x14ac:dyDescent="0.35">
      <c r="A367" s="39"/>
      <c r="B367" s="40" t="s">
        <v>22</v>
      </c>
      <c r="C367" s="40"/>
      <c r="D367" s="41" t="s">
        <v>77</v>
      </c>
      <c r="E367" s="40"/>
      <c r="F367" s="40"/>
      <c r="G367" s="42" t="str">
        <f t="shared" si="5"/>
        <v/>
      </c>
      <c r="H367" s="40"/>
      <c r="I367" s="43" t="str">
        <f>IF(OR(B367="",C367=""),"",IF(COUNTIFS(재료목록!$A$2:$A$51,B367,재료목록!$B$2:$B$51,C367)&gt;0,"OK","불일치"))</f>
        <v/>
      </c>
    </row>
    <row r="368" spans="1:9" ht="17" customHeight="1" x14ac:dyDescent="0.35">
      <c r="A368" s="39"/>
      <c r="B368" s="40" t="s">
        <v>22</v>
      </c>
      <c r="C368" s="40"/>
      <c r="D368" s="41" t="s">
        <v>77</v>
      </c>
      <c r="E368" s="40"/>
      <c r="F368" s="40"/>
      <c r="G368" s="42" t="str">
        <f t="shared" si="5"/>
        <v/>
      </c>
      <c r="H368" s="40"/>
      <c r="I368" s="43" t="str">
        <f>IF(OR(B368="",C368=""),"",IF(COUNTIFS(재료목록!$A$2:$A$51,B368,재료목록!$B$2:$B$51,C368)&gt;0,"OK","불일치"))</f>
        <v/>
      </c>
    </row>
    <row r="369" spans="1:9" ht="17" customHeight="1" x14ac:dyDescent="0.35">
      <c r="A369" s="39"/>
      <c r="B369" s="40" t="s">
        <v>22</v>
      </c>
      <c r="C369" s="40"/>
      <c r="D369" s="41" t="s">
        <v>77</v>
      </c>
      <c r="E369" s="40"/>
      <c r="F369" s="40"/>
      <c r="G369" s="42" t="str">
        <f t="shared" si="5"/>
        <v/>
      </c>
      <c r="H369" s="40"/>
      <c r="I369" s="43" t="str">
        <f>IF(OR(B369="",C369=""),"",IF(COUNTIFS(재료목록!$A$2:$A$51,B369,재료목록!$B$2:$B$51,C369)&gt;0,"OK","불일치"))</f>
        <v/>
      </c>
    </row>
    <row r="370" spans="1:9" ht="17" customHeight="1" x14ac:dyDescent="0.35">
      <c r="A370" s="39"/>
      <c r="B370" s="40" t="s">
        <v>22</v>
      </c>
      <c r="C370" s="40"/>
      <c r="D370" s="41" t="s">
        <v>77</v>
      </c>
      <c r="E370" s="40"/>
      <c r="F370" s="40"/>
      <c r="G370" s="42" t="str">
        <f t="shared" si="5"/>
        <v/>
      </c>
      <c r="H370" s="40"/>
      <c r="I370" s="43" t="str">
        <f>IF(OR(B370="",C370=""),"",IF(COUNTIFS(재료목록!$A$2:$A$51,B370,재료목록!$B$2:$B$51,C370)&gt;0,"OK","불일치"))</f>
        <v/>
      </c>
    </row>
    <row r="371" spans="1:9" ht="17" customHeight="1" x14ac:dyDescent="0.35">
      <c r="A371" s="39"/>
      <c r="B371" s="40" t="s">
        <v>22</v>
      </c>
      <c r="C371" s="40"/>
      <c r="D371" s="41" t="s">
        <v>77</v>
      </c>
      <c r="E371" s="40"/>
      <c r="F371" s="40"/>
      <c r="G371" s="42" t="str">
        <f t="shared" si="5"/>
        <v/>
      </c>
      <c r="H371" s="40"/>
      <c r="I371" s="43" t="str">
        <f>IF(OR(B371="",C371=""),"",IF(COUNTIFS(재료목록!$A$2:$A$51,B371,재료목록!$B$2:$B$51,C371)&gt;0,"OK","불일치"))</f>
        <v/>
      </c>
    </row>
    <row r="372" spans="1:9" ht="17" customHeight="1" x14ac:dyDescent="0.35">
      <c r="A372" s="39"/>
      <c r="B372" s="40" t="s">
        <v>22</v>
      </c>
      <c r="C372" s="40"/>
      <c r="D372" s="41" t="s">
        <v>77</v>
      </c>
      <c r="E372" s="40"/>
      <c r="F372" s="40"/>
      <c r="G372" s="42" t="str">
        <f t="shared" si="5"/>
        <v/>
      </c>
      <c r="H372" s="40"/>
      <c r="I372" s="43" t="str">
        <f>IF(OR(B372="",C372=""),"",IF(COUNTIFS(재료목록!$A$2:$A$51,B372,재료목록!$B$2:$B$51,C372)&gt;0,"OK","불일치"))</f>
        <v/>
      </c>
    </row>
    <row r="373" spans="1:9" ht="17" customHeight="1" x14ac:dyDescent="0.35">
      <c r="A373" s="39"/>
      <c r="B373" s="40" t="s">
        <v>22</v>
      </c>
      <c r="C373" s="40"/>
      <c r="D373" s="41" t="s">
        <v>77</v>
      </c>
      <c r="E373" s="40"/>
      <c r="F373" s="40"/>
      <c r="G373" s="42" t="str">
        <f t="shared" si="5"/>
        <v/>
      </c>
      <c r="H373" s="40"/>
      <c r="I373" s="43" t="str">
        <f>IF(OR(B373="",C373=""),"",IF(COUNTIFS(재료목록!$A$2:$A$51,B373,재료목록!$B$2:$B$51,C373)&gt;0,"OK","불일치"))</f>
        <v/>
      </c>
    </row>
    <row r="374" spans="1:9" ht="17" customHeight="1" x14ac:dyDescent="0.35">
      <c r="A374" s="39"/>
      <c r="B374" s="40" t="s">
        <v>22</v>
      </c>
      <c r="C374" s="40"/>
      <c r="D374" s="41" t="s">
        <v>77</v>
      </c>
      <c r="E374" s="40"/>
      <c r="F374" s="40"/>
      <c r="G374" s="42" t="str">
        <f t="shared" si="5"/>
        <v/>
      </c>
      <c r="H374" s="40"/>
      <c r="I374" s="43" t="str">
        <f>IF(OR(B374="",C374=""),"",IF(COUNTIFS(재료목록!$A$2:$A$51,B374,재료목록!$B$2:$B$51,C374)&gt;0,"OK","불일치"))</f>
        <v/>
      </c>
    </row>
    <row r="375" spans="1:9" ht="17" customHeight="1" x14ac:dyDescent="0.35">
      <c r="A375" s="39"/>
      <c r="B375" s="40" t="s">
        <v>22</v>
      </c>
      <c r="C375" s="40"/>
      <c r="D375" s="41" t="s">
        <v>77</v>
      </c>
      <c r="E375" s="40"/>
      <c r="F375" s="40"/>
      <c r="G375" s="42" t="str">
        <f t="shared" si="5"/>
        <v/>
      </c>
      <c r="H375" s="40"/>
      <c r="I375" s="43" t="str">
        <f>IF(OR(B375="",C375=""),"",IF(COUNTIFS(재료목록!$A$2:$A$51,B375,재료목록!$B$2:$B$51,C375)&gt;0,"OK","불일치"))</f>
        <v/>
      </c>
    </row>
    <row r="376" spans="1:9" ht="17" customHeight="1" x14ac:dyDescent="0.35">
      <c r="A376" s="39"/>
      <c r="B376" s="40" t="s">
        <v>22</v>
      </c>
      <c r="C376" s="40"/>
      <c r="D376" s="41" t="s">
        <v>77</v>
      </c>
      <c r="E376" s="40"/>
      <c r="F376" s="40"/>
      <c r="G376" s="42" t="str">
        <f t="shared" si="5"/>
        <v/>
      </c>
      <c r="H376" s="40"/>
      <c r="I376" s="43" t="str">
        <f>IF(OR(B376="",C376=""),"",IF(COUNTIFS(재료목록!$A$2:$A$51,B376,재료목록!$B$2:$B$51,C376)&gt;0,"OK","불일치"))</f>
        <v/>
      </c>
    </row>
    <row r="377" spans="1:9" ht="17" customHeight="1" x14ac:dyDescent="0.35">
      <c r="A377" s="39"/>
      <c r="B377" s="40" t="s">
        <v>22</v>
      </c>
      <c r="C377" s="40"/>
      <c r="D377" s="41" t="s">
        <v>77</v>
      </c>
      <c r="E377" s="40"/>
      <c r="F377" s="40"/>
      <c r="G377" s="42" t="str">
        <f t="shared" si="5"/>
        <v/>
      </c>
      <c r="H377" s="40"/>
      <c r="I377" s="43" t="str">
        <f>IF(OR(B377="",C377=""),"",IF(COUNTIFS(재료목록!$A$2:$A$51,B377,재료목록!$B$2:$B$51,C377)&gt;0,"OK","불일치"))</f>
        <v/>
      </c>
    </row>
    <row r="378" spans="1:9" ht="17" customHeight="1" x14ac:dyDescent="0.35">
      <c r="A378" s="39"/>
      <c r="B378" s="40" t="s">
        <v>22</v>
      </c>
      <c r="C378" s="40"/>
      <c r="D378" s="41" t="s">
        <v>77</v>
      </c>
      <c r="E378" s="40"/>
      <c r="F378" s="40"/>
      <c r="G378" s="42" t="str">
        <f t="shared" si="5"/>
        <v/>
      </c>
      <c r="H378" s="40"/>
      <c r="I378" s="43" t="str">
        <f>IF(OR(B378="",C378=""),"",IF(COUNTIFS(재료목록!$A$2:$A$51,B378,재료목록!$B$2:$B$51,C378)&gt;0,"OK","불일치"))</f>
        <v/>
      </c>
    </row>
    <row r="379" spans="1:9" ht="17" customHeight="1" x14ac:dyDescent="0.35">
      <c r="A379" s="39"/>
      <c r="B379" s="40" t="s">
        <v>22</v>
      </c>
      <c r="C379" s="40"/>
      <c r="D379" s="41" t="s">
        <v>77</v>
      </c>
      <c r="E379" s="40"/>
      <c r="F379" s="40"/>
      <c r="G379" s="42" t="str">
        <f t="shared" si="5"/>
        <v/>
      </c>
      <c r="H379" s="40"/>
      <c r="I379" s="43" t="str">
        <f>IF(OR(B379="",C379=""),"",IF(COUNTIFS(재료목록!$A$2:$A$51,B379,재료목록!$B$2:$B$51,C379)&gt;0,"OK","불일치"))</f>
        <v/>
      </c>
    </row>
    <row r="380" spans="1:9" ht="17" customHeight="1" x14ac:dyDescent="0.35">
      <c r="A380" s="39"/>
      <c r="B380" s="40" t="s">
        <v>22</v>
      </c>
      <c r="C380" s="40"/>
      <c r="D380" s="41" t="s">
        <v>77</v>
      </c>
      <c r="E380" s="40"/>
      <c r="F380" s="40"/>
      <c r="G380" s="42" t="str">
        <f t="shared" si="5"/>
        <v/>
      </c>
      <c r="H380" s="40"/>
      <c r="I380" s="43" t="str">
        <f>IF(OR(B380="",C380=""),"",IF(COUNTIFS(재료목록!$A$2:$A$51,B380,재료목록!$B$2:$B$51,C380)&gt;0,"OK","불일치"))</f>
        <v/>
      </c>
    </row>
    <row r="381" spans="1:9" ht="17" customHeight="1" x14ac:dyDescent="0.35">
      <c r="A381" s="39"/>
      <c r="B381" s="40" t="s">
        <v>22</v>
      </c>
      <c r="C381" s="40"/>
      <c r="D381" s="41" t="s">
        <v>77</v>
      </c>
      <c r="E381" s="40"/>
      <c r="F381" s="40"/>
      <c r="G381" s="42" t="str">
        <f t="shared" si="5"/>
        <v/>
      </c>
      <c r="H381" s="40"/>
      <c r="I381" s="43" t="str">
        <f>IF(OR(B381="",C381=""),"",IF(COUNTIFS(재료목록!$A$2:$A$51,B381,재료목록!$B$2:$B$51,C381)&gt;0,"OK","불일치"))</f>
        <v/>
      </c>
    </row>
    <row r="382" spans="1:9" ht="17" customHeight="1" x14ac:dyDescent="0.35">
      <c r="A382" s="39"/>
      <c r="B382" s="40" t="s">
        <v>22</v>
      </c>
      <c r="C382" s="40"/>
      <c r="D382" s="41" t="s">
        <v>77</v>
      </c>
      <c r="E382" s="40"/>
      <c r="F382" s="40"/>
      <c r="G382" s="42" t="str">
        <f t="shared" si="5"/>
        <v/>
      </c>
      <c r="H382" s="40"/>
      <c r="I382" s="43" t="str">
        <f>IF(OR(B382="",C382=""),"",IF(COUNTIFS(재료목록!$A$2:$A$51,B382,재료목록!$B$2:$B$51,C382)&gt;0,"OK","불일치"))</f>
        <v/>
      </c>
    </row>
    <row r="383" spans="1:9" ht="17" customHeight="1" x14ac:dyDescent="0.35">
      <c r="A383" s="39"/>
      <c r="B383" s="40" t="s">
        <v>22</v>
      </c>
      <c r="C383" s="40"/>
      <c r="D383" s="41" t="s">
        <v>77</v>
      </c>
      <c r="E383" s="40"/>
      <c r="F383" s="40"/>
      <c r="G383" s="42" t="str">
        <f t="shared" si="5"/>
        <v/>
      </c>
      <c r="H383" s="40"/>
      <c r="I383" s="43" t="str">
        <f>IF(OR(B383="",C383=""),"",IF(COUNTIFS(재료목록!$A$2:$A$51,B383,재료목록!$B$2:$B$51,C383)&gt;0,"OK","불일치"))</f>
        <v/>
      </c>
    </row>
    <row r="384" spans="1:9" ht="17" customHeight="1" x14ac:dyDescent="0.35">
      <c r="A384" s="39"/>
      <c r="B384" s="40" t="s">
        <v>22</v>
      </c>
      <c r="C384" s="40"/>
      <c r="D384" s="41" t="s">
        <v>77</v>
      </c>
      <c r="E384" s="40"/>
      <c r="F384" s="40"/>
      <c r="G384" s="42" t="str">
        <f t="shared" si="5"/>
        <v/>
      </c>
      <c r="H384" s="40"/>
      <c r="I384" s="43" t="str">
        <f>IF(OR(B384="",C384=""),"",IF(COUNTIFS(재료목록!$A$2:$A$51,B384,재료목록!$B$2:$B$51,C384)&gt;0,"OK","불일치"))</f>
        <v/>
      </c>
    </row>
    <row r="385" spans="1:9" ht="17" customHeight="1" x14ac:dyDescent="0.35">
      <c r="A385" s="39"/>
      <c r="B385" s="40" t="s">
        <v>22</v>
      </c>
      <c r="C385" s="40"/>
      <c r="D385" s="41" t="s">
        <v>77</v>
      </c>
      <c r="E385" s="40"/>
      <c r="F385" s="40"/>
      <c r="G385" s="42" t="str">
        <f t="shared" si="5"/>
        <v/>
      </c>
      <c r="H385" s="40"/>
      <c r="I385" s="43" t="str">
        <f>IF(OR(B385="",C385=""),"",IF(COUNTIFS(재료목록!$A$2:$A$51,B385,재료목록!$B$2:$B$51,C385)&gt;0,"OK","불일치"))</f>
        <v/>
      </c>
    </row>
    <row r="386" spans="1:9" ht="17" customHeight="1" x14ac:dyDescent="0.35">
      <c r="A386" s="39"/>
      <c r="B386" s="40" t="s">
        <v>22</v>
      </c>
      <c r="C386" s="40"/>
      <c r="D386" s="41" t="s">
        <v>77</v>
      </c>
      <c r="E386" s="40"/>
      <c r="F386" s="40"/>
      <c r="G386" s="42" t="str">
        <f t="shared" ref="G386:G449" si="6">IF(OR(E386="",F386=""),"",E386*F386)</f>
        <v/>
      </c>
      <c r="H386" s="40"/>
      <c r="I386" s="43" t="str">
        <f>IF(OR(B386="",C386=""),"",IF(COUNTIFS(재료목록!$A$2:$A$51,B386,재료목록!$B$2:$B$51,C386)&gt;0,"OK","불일치"))</f>
        <v/>
      </c>
    </row>
    <row r="387" spans="1:9" ht="17" customHeight="1" x14ac:dyDescent="0.35">
      <c r="A387" s="39"/>
      <c r="B387" s="40" t="s">
        <v>22</v>
      </c>
      <c r="C387" s="40"/>
      <c r="D387" s="41" t="s">
        <v>77</v>
      </c>
      <c r="E387" s="40"/>
      <c r="F387" s="40"/>
      <c r="G387" s="42" t="str">
        <f t="shared" si="6"/>
        <v/>
      </c>
      <c r="H387" s="40"/>
      <c r="I387" s="43" t="str">
        <f>IF(OR(B387="",C387=""),"",IF(COUNTIFS(재료목록!$A$2:$A$51,B387,재료목록!$B$2:$B$51,C387)&gt;0,"OK","불일치"))</f>
        <v/>
      </c>
    </row>
    <row r="388" spans="1:9" ht="17" customHeight="1" x14ac:dyDescent="0.35">
      <c r="A388" s="39"/>
      <c r="B388" s="40" t="s">
        <v>22</v>
      </c>
      <c r="C388" s="40"/>
      <c r="D388" s="41" t="s">
        <v>77</v>
      </c>
      <c r="E388" s="40"/>
      <c r="F388" s="40"/>
      <c r="G388" s="42" t="str">
        <f t="shared" si="6"/>
        <v/>
      </c>
      <c r="H388" s="40"/>
      <c r="I388" s="43" t="str">
        <f>IF(OR(B388="",C388=""),"",IF(COUNTIFS(재료목록!$A$2:$A$51,B388,재료목록!$B$2:$B$51,C388)&gt;0,"OK","불일치"))</f>
        <v/>
      </c>
    </row>
    <row r="389" spans="1:9" ht="17" customHeight="1" x14ac:dyDescent="0.35">
      <c r="A389" s="39"/>
      <c r="B389" s="40" t="s">
        <v>22</v>
      </c>
      <c r="C389" s="40"/>
      <c r="D389" s="41" t="s">
        <v>77</v>
      </c>
      <c r="E389" s="40"/>
      <c r="F389" s="40"/>
      <c r="G389" s="42" t="str">
        <f t="shared" si="6"/>
        <v/>
      </c>
      <c r="H389" s="40"/>
      <c r="I389" s="43" t="str">
        <f>IF(OR(B389="",C389=""),"",IF(COUNTIFS(재료목록!$A$2:$A$51,B389,재료목록!$B$2:$B$51,C389)&gt;0,"OK","불일치"))</f>
        <v/>
      </c>
    </row>
    <row r="390" spans="1:9" ht="17" customHeight="1" x14ac:dyDescent="0.35">
      <c r="A390" s="39"/>
      <c r="B390" s="40" t="s">
        <v>22</v>
      </c>
      <c r="C390" s="40"/>
      <c r="D390" s="41" t="s">
        <v>77</v>
      </c>
      <c r="E390" s="40"/>
      <c r="F390" s="40"/>
      <c r="G390" s="42" t="str">
        <f t="shared" si="6"/>
        <v/>
      </c>
      <c r="H390" s="40"/>
      <c r="I390" s="43" t="str">
        <f>IF(OR(B390="",C390=""),"",IF(COUNTIFS(재료목록!$A$2:$A$51,B390,재료목록!$B$2:$B$51,C390)&gt;0,"OK","불일치"))</f>
        <v/>
      </c>
    </row>
    <row r="391" spans="1:9" ht="17" customHeight="1" x14ac:dyDescent="0.35">
      <c r="A391" s="39"/>
      <c r="B391" s="40" t="s">
        <v>22</v>
      </c>
      <c r="C391" s="40"/>
      <c r="D391" s="41" t="s">
        <v>77</v>
      </c>
      <c r="E391" s="40"/>
      <c r="F391" s="40"/>
      <c r="G391" s="42" t="str">
        <f t="shared" si="6"/>
        <v/>
      </c>
      <c r="H391" s="40"/>
      <c r="I391" s="43" t="str">
        <f>IF(OR(B391="",C391=""),"",IF(COUNTIFS(재료목록!$A$2:$A$51,B391,재료목록!$B$2:$B$51,C391)&gt;0,"OK","불일치"))</f>
        <v/>
      </c>
    </row>
    <row r="392" spans="1:9" ht="17" customHeight="1" x14ac:dyDescent="0.35">
      <c r="A392" s="39"/>
      <c r="B392" s="40" t="s">
        <v>22</v>
      </c>
      <c r="C392" s="40"/>
      <c r="D392" s="41" t="s">
        <v>77</v>
      </c>
      <c r="E392" s="40"/>
      <c r="F392" s="40"/>
      <c r="G392" s="42" t="str">
        <f t="shared" si="6"/>
        <v/>
      </c>
      <c r="H392" s="40"/>
      <c r="I392" s="43" t="str">
        <f>IF(OR(B392="",C392=""),"",IF(COUNTIFS(재료목록!$A$2:$A$51,B392,재료목록!$B$2:$B$51,C392)&gt;0,"OK","불일치"))</f>
        <v/>
      </c>
    </row>
    <row r="393" spans="1:9" ht="17" customHeight="1" x14ac:dyDescent="0.35">
      <c r="A393" s="39"/>
      <c r="B393" s="40" t="s">
        <v>22</v>
      </c>
      <c r="C393" s="40"/>
      <c r="D393" s="41" t="s">
        <v>77</v>
      </c>
      <c r="E393" s="40"/>
      <c r="F393" s="40"/>
      <c r="G393" s="42" t="str">
        <f t="shared" si="6"/>
        <v/>
      </c>
      <c r="H393" s="40"/>
      <c r="I393" s="43" t="str">
        <f>IF(OR(B393="",C393=""),"",IF(COUNTIFS(재료목록!$A$2:$A$51,B393,재료목록!$B$2:$B$51,C393)&gt;0,"OK","불일치"))</f>
        <v/>
      </c>
    </row>
    <row r="394" spans="1:9" ht="17" customHeight="1" x14ac:dyDescent="0.35">
      <c r="A394" s="39"/>
      <c r="B394" s="40" t="s">
        <v>22</v>
      </c>
      <c r="C394" s="40"/>
      <c r="D394" s="41" t="s">
        <v>77</v>
      </c>
      <c r="E394" s="40"/>
      <c r="F394" s="40"/>
      <c r="G394" s="42" t="str">
        <f t="shared" si="6"/>
        <v/>
      </c>
      <c r="H394" s="40"/>
      <c r="I394" s="43" t="str">
        <f>IF(OR(B394="",C394=""),"",IF(COUNTIFS(재료목록!$A$2:$A$51,B394,재료목록!$B$2:$B$51,C394)&gt;0,"OK","불일치"))</f>
        <v/>
      </c>
    </row>
    <row r="395" spans="1:9" ht="17" customHeight="1" x14ac:dyDescent="0.35">
      <c r="A395" s="39"/>
      <c r="B395" s="40" t="s">
        <v>22</v>
      </c>
      <c r="C395" s="40"/>
      <c r="D395" s="41" t="s">
        <v>77</v>
      </c>
      <c r="E395" s="40"/>
      <c r="F395" s="40"/>
      <c r="G395" s="42" t="str">
        <f t="shared" si="6"/>
        <v/>
      </c>
      <c r="H395" s="40"/>
      <c r="I395" s="43" t="str">
        <f>IF(OR(B395="",C395=""),"",IF(COUNTIFS(재료목록!$A$2:$A$51,B395,재료목록!$B$2:$B$51,C395)&gt;0,"OK","불일치"))</f>
        <v/>
      </c>
    </row>
    <row r="396" spans="1:9" ht="17" customHeight="1" x14ac:dyDescent="0.35">
      <c r="A396" s="39"/>
      <c r="B396" s="40" t="s">
        <v>22</v>
      </c>
      <c r="C396" s="40"/>
      <c r="D396" s="41" t="s">
        <v>77</v>
      </c>
      <c r="E396" s="40"/>
      <c r="F396" s="40"/>
      <c r="G396" s="42" t="str">
        <f t="shared" si="6"/>
        <v/>
      </c>
      <c r="H396" s="40"/>
      <c r="I396" s="43" t="str">
        <f>IF(OR(B396="",C396=""),"",IF(COUNTIFS(재료목록!$A$2:$A$51,B396,재료목록!$B$2:$B$51,C396)&gt;0,"OK","불일치"))</f>
        <v/>
      </c>
    </row>
    <row r="397" spans="1:9" ht="17" customHeight="1" x14ac:dyDescent="0.35">
      <c r="A397" s="39"/>
      <c r="B397" s="40" t="s">
        <v>22</v>
      </c>
      <c r="C397" s="40"/>
      <c r="D397" s="41" t="s">
        <v>77</v>
      </c>
      <c r="E397" s="40"/>
      <c r="F397" s="40"/>
      <c r="G397" s="42" t="str">
        <f t="shared" si="6"/>
        <v/>
      </c>
      <c r="H397" s="40"/>
      <c r="I397" s="43" t="str">
        <f>IF(OR(B397="",C397=""),"",IF(COUNTIFS(재료목록!$A$2:$A$51,B397,재료목록!$B$2:$B$51,C397)&gt;0,"OK","불일치"))</f>
        <v/>
      </c>
    </row>
    <row r="398" spans="1:9" ht="17" customHeight="1" x14ac:dyDescent="0.35">
      <c r="A398" s="39"/>
      <c r="B398" s="40" t="s">
        <v>22</v>
      </c>
      <c r="C398" s="40"/>
      <c r="D398" s="41" t="s">
        <v>77</v>
      </c>
      <c r="E398" s="40"/>
      <c r="F398" s="40"/>
      <c r="G398" s="42" t="str">
        <f t="shared" si="6"/>
        <v/>
      </c>
      <c r="H398" s="40"/>
      <c r="I398" s="43" t="str">
        <f>IF(OR(B398="",C398=""),"",IF(COUNTIFS(재료목록!$A$2:$A$51,B398,재료목록!$B$2:$B$51,C398)&gt;0,"OK","불일치"))</f>
        <v/>
      </c>
    </row>
    <row r="399" spans="1:9" ht="17" customHeight="1" x14ac:dyDescent="0.35">
      <c r="A399" s="39"/>
      <c r="B399" s="40" t="s">
        <v>22</v>
      </c>
      <c r="C399" s="40"/>
      <c r="D399" s="41" t="s">
        <v>77</v>
      </c>
      <c r="E399" s="40"/>
      <c r="F399" s="40"/>
      <c r="G399" s="42" t="str">
        <f t="shared" si="6"/>
        <v/>
      </c>
      <c r="H399" s="40"/>
      <c r="I399" s="43" t="str">
        <f>IF(OR(B399="",C399=""),"",IF(COUNTIFS(재료목록!$A$2:$A$51,B399,재료목록!$B$2:$B$51,C399)&gt;0,"OK","불일치"))</f>
        <v/>
      </c>
    </row>
    <row r="400" spans="1:9" ht="17" customHeight="1" x14ac:dyDescent="0.35">
      <c r="A400" s="39"/>
      <c r="B400" s="40" t="s">
        <v>22</v>
      </c>
      <c r="C400" s="40"/>
      <c r="D400" s="41" t="s">
        <v>77</v>
      </c>
      <c r="E400" s="40"/>
      <c r="F400" s="40"/>
      <c r="G400" s="42" t="str">
        <f t="shared" si="6"/>
        <v/>
      </c>
      <c r="H400" s="40"/>
      <c r="I400" s="43" t="str">
        <f>IF(OR(B400="",C400=""),"",IF(COUNTIFS(재료목록!$A$2:$A$51,B400,재료목록!$B$2:$B$51,C400)&gt;0,"OK","불일치"))</f>
        <v/>
      </c>
    </row>
    <row r="401" spans="1:9" ht="17" customHeight="1" x14ac:dyDescent="0.35">
      <c r="A401" s="39"/>
      <c r="B401" s="40" t="s">
        <v>22</v>
      </c>
      <c r="C401" s="40"/>
      <c r="D401" s="41" t="s">
        <v>77</v>
      </c>
      <c r="E401" s="40"/>
      <c r="F401" s="40"/>
      <c r="G401" s="42" t="str">
        <f t="shared" si="6"/>
        <v/>
      </c>
      <c r="H401" s="40"/>
      <c r="I401" s="43" t="str">
        <f>IF(OR(B401="",C401=""),"",IF(COUNTIFS(재료목록!$A$2:$A$51,B401,재료목록!$B$2:$B$51,C401)&gt;0,"OK","불일치"))</f>
        <v/>
      </c>
    </row>
    <row r="402" spans="1:9" ht="17" customHeight="1" x14ac:dyDescent="0.35">
      <c r="A402" s="39"/>
      <c r="B402" s="40" t="s">
        <v>22</v>
      </c>
      <c r="C402" s="40"/>
      <c r="D402" s="41" t="s">
        <v>77</v>
      </c>
      <c r="E402" s="40"/>
      <c r="F402" s="40"/>
      <c r="G402" s="42" t="str">
        <f t="shared" si="6"/>
        <v/>
      </c>
      <c r="H402" s="40"/>
      <c r="I402" s="43" t="str">
        <f>IF(OR(B402="",C402=""),"",IF(COUNTIFS(재료목록!$A$2:$A$51,B402,재료목록!$B$2:$B$51,C402)&gt;0,"OK","불일치"))</f>
        <v/>
      </c>
    </row>
    <row r="403" spans="1:9" ht="17" customHeight="1" x14ac:dyDescent="0.35">
      <c r="A403" s="39"/>
      <c r="B403" s="40" t="s">
        <v>22</v>
      </c>
      <c r="C403" s="40"/>
      <c r="D403" s="41" t="s">
        <v>77</v>
      </c>
      <c r="E403" s="40"/>
      <c r="F403" s="40"/>
      <c r="G403" s="42" t="str">
        <f t="shared" si="6"/>
        <v/>
      </c>
      <c r="H403" s="40"/>
      <c r="I403" s="43" t="str">
        <f>IF(OR(B403="",C403=""),"",IF(COUNTIFS(재료목록!$A$2:$A$51,B403,재료목록!$B$2:$B$51,C403)&gt;0,"OK","불일치"))</f>
        <v/>
      </c>
    </row>
    <row r="404" spans="1:9" ht="17" customHeight="1" x14ac:dyDescent="0.35">
      <c r="A404" s="39"/>
      <c r="B404" s="40" t="s">
        <v>22</v>
      </c>
      <c r="C404" s="40"/>
      <c r="D404" s="41" t="s">
        <v>77</v>
      </c>
      <c r="E404" s="40"/>
      <c r="F404" s="40"/>
      <c r="G404" s="42" t="str">
        <f t="shared" si="6"/>
        <v/>
      </c>
      <c r="H404" s="40"/>
      <c r="I404" s="43" t="str">
        <f>IF(OR(B404="",C404=""),"",IF(COUNTIFS(재료목록!$A$2:$A$51,B404,재료목록!$B$2:$B$51,C404)&gt;0,"OK","불일치"))</f>
        <v/>
      </c>
    </row>
    <row r="405" spans="1:9" ht="17" customHeight="1" x14ac:dyDescent="0.35">
      <c r="A405" s="39"/>
      <c r="B405" s="40" t="s">
        <v>22</v>
      </c>
      <c r="C405" s="40"/>
      <c r="D405" s="41" t="s">
        <v>77</v>
      </c>
      <c r="E405" s="40"/>
      <c r="F405" s="40"/>
      <c r="G405" s="42" t="str">
        <f t="shared" si="6"/>
        <v/>
      </c>
      <c r="H405" s="40"/>
      <c r="I405" s="43" t="str">
        <f>IF(OR(B405="",C405=""),"",IF(COUNTIFS(재료목록!$A$2:$A$51,B405,재료목록!$B$2:$B$51,C405)&gt;0,"OK","불일치"))</f>
        <v/>
      </c>
    </row>
    <row r="406" spans="1:9" ht="17" customHeight="1" x14ac:dyDescent="0.35">
      <c r="A406" s="39"/>
      <c r="B406" s="40" t="s">
        <v>22</v>
      </c>
      <c r="C406" s="40"/>
      <c r="D406" s="41" t="s">
        <v>77</v>
      </c>
      <c r="E406" s="40"/>
      <c r="F406" s="40"/>
      <c r="G406" s="42" t="str">
        <f t="shared" si="6"/>
        <v/>
      </c>
      <c r="H406" s="40"/>
      <c r="I406" s="43" t="str">
        <f>IF(OR(B406="",C406=""),"",IF(COUNTIFS(재료목록!$A$2:$A$51,B406,재료목록!$B$2:$B$51,C406)&gt;0,"OK","불일치"))</f>
        <v/>
      </c>
    </row>
    <row r="407" spans="1:9" ht="17" customHeight="1" x14ac:dyDescent="0.35">
      <c r="A407" s="39"/>
      <c r="B407" s="40" t="s">
        <v>22</v>
      </c>
      <c r="C407" s="40"/>
      <c r="D407" s="41" t="s">
        <v>77</v>
      </c>
      <c r="E407" s="40"/>
      <c r="F407" s="40"/>
      <c r="G407" s="42" t="str">
        <f t="shared" si="6"/>
        <v/>
      </c>
      <c r="H407" s="40"/>
      <c r="I407" s="43" t="str">
        <f>IF(OR(B407="",C407=""),"",IF(COUNTIFS(재료목록!$A$2:$A$51,B407,재료목록!$B$2:$B$51,C407)&gt;0,"OK","불일치"))</f>
        <v/>
      </c>
    </row>
    <row r="408" spans="1:9" ht="17" customHeight="1" x14ac:dyDescent="0.35">
      <c r="A408" s="39"/>
      <c r="B408" s="40" t="s">
        <v>22</v>
      </c>
      <c r="C408" s="40"/>
      <c r="D408" s="41" t="s">
        <v>77</v>
      </c>
      <c r="E408" s="40"/>
      <c r="F408" s="40"/>
      <c r="G408" s="42" t="str">
        <f t="shared" si="6"/>
        <v/>
      </c>
      <c r="H408" s="40"/>
      <c r="I408" s="43" t="str">
        <f>IF(OR(B408="",C408=""),"",IF(COUNTIFS(재료목록!$A$2:$A$51,B408,재료목록!$B$2:$B$51,C408)&gt;0,"OK","불일치"))</f>
        <v/>
      </c>
    </row>
    <row r="409" spans="1:9" ht="17" customHeight="1" x14ac:dyDescent="0.35">
      <c r="A409" s="39"/>
      <c r="B409" s="40" t="s">
        <v>22</v>
      </c>
      <c r="C409" s="40"/>
      <c r="D409" s="41" t="s">
        <v>77</v>
      </c>
      <c r="E409" s="40"/>
      <c r="F409" s="40"/>
      <c r="G409" s="42" t="str">
        <f t="shared" si="6"/>
        <v/>
      </c>
      <c r="H409" s="40"/>
      <c r="I409" s="43" t="str">
        <f>IF(OR(B409="",C409=""),"",IF(COUNTIFS(재료목록!$A$2:$A$51,B409,재료목록!$B$2:$B$51,C409)&gt;0,"OK","불일치"))</f>
        <v/>
      </c>
    </row>
    <row r="410" spans="1:9" ht="17" customHeight="1" x14ac:dyDescent="0.35">
      <c r="A410" s="39"/>
      <c r="B410" s="40" t="s">
        <v>22</v>
      </c>
      <c r="C410" s="40"/>
      <c r="D410" s="41" t="s">
        <v>77</v>
      </c>
      <c r="E410" s="40"/>
      <c r="F410" s="40"/>
      <c r="G410" s="42" t="str">
        <f t="shared" si="6"/>
        <v/>
      </c>
      <c r="H410" s="40"/>
      <c r="I410" s="43" t="str">
        <f>IF(OR(B410="",C410=""),"",IF(COUNTIFS(재료목록!$A$2:$A$51,B410,재료목록!$B$2:$B$51,C410)&gt;0,"OK","불일치"))</f>
        <v/>
      </c>
    </row>
    <row r="411" spans="1:9" ht="17" customHeight="1" x14ac:dyDescent="0.35">
      <c r="A411" s="39"/>
      <c r="B411" s="40" t="s">
        <v>22</v>
      </c>
      <c r="C411" s="40"/>
      <c r="D411" s="41" t="s">
        <v>77</v>
      </c>
      <c r="E411" s="40"/>
      <c r="F411" s="40"/>
      <c r="G411" s="42" t="str">
        <f t="shared" si="6"/>
        <v/>
      </c>
      <c r="H411" s="40"/>
      <c r="I411" s="43" t="str">
        <f>IF(OR(B411="",C411=""),"",IF(COUNTIFS(재료목록!$A$2:$A$51,B411,재료목록!$B$2:$B$51,C411)&gt;0,"OK","불일치"))</f>
        <v/>
      </c>
    </row>
    <row r="412" spans="1:9" ht="17" customHeight="1" x14ac:dyDescent="0.35">
      <c r="A412" s="39"/>
      <c r="B412" s="40" t="s">
        <v>22</v>
      </c>
      <c r="C412" s="40"/>
      <c r="D412" s="41" t="s">
        <v>77</v>
      </c>
      <c r="E412" s="40"/>
      <c r="F412" s="40"/>
      <c r="G412" s="42" t="str">
        <f t="shared" si="6"/>
        <v/>
      </c>
      <c r="H412" s="40"/>
      <c r="I412" s="43" t="str">
        <f>IF(OR(B412="",C412=""),"",IF(COUNTIFS(재료목록!$A$2:$A$51,B412,재료목록!$B$2:$B$51,C412)&gt;0,"OK","불일치"))</f>
        <v/>
      </c>
    </row>
    <row r="413" spans="1:9" ht="17" customHeight="1" x14ac:dyDescent="0.35">
      <c r="A413" s="39"/>
      <c r="B413" s="40" t="s">
        <v>22</v>
      </c>
      <c r="C413" s="40"/>
      <c r="D413" s="41" t="s">
        <v>77</v>
      </c>
      <c r="E413" s="40"/>
      <c r="F413" s="40"/>
      <c r="G413" s="42" t="str">
        <f t="shared" si="6"/>
        <v/>
      </c>
      <c r="H413" s="40"/>
      <c r="I413" s="43" t="str">
        <f>IF(OR(B413="",C413=""),"",IF(COUNTIFS(재료목록!$A$2:$A$51,B413,재료목록!$B$2:$B$51,C413)&gt;0,"OK","불일치"))</f>
        <v/>
      </c>
    </row>
    <row r="414" spans="1:9" ht="17" customHeight="1" x14ac:dyDescent="0.35">
      <c r="A414" s="39"/>
      <c r="B414" s="40" t="s">
        <v>22</v>
      </c>
      <c r="C414" s="40"/>
      <c r="D414" s="41" t="s">
        <v>77</v>
      </c>
      <c r="E414" s="40"/>
      <c r="F414" s="40"/>
      <c r="G414" s="42" t="str">
        <f t="shared" si="6"/>
        <v/>
      </c>
      <c r="H414" s="40"/>
      <c r="I414" s="43" t="str">
        <f>IF(OR(B414="",C414=""),"",IF(COUNTIFS(재료목록!$A$2:$A$51,B414,재료목록!$B$2:$B$51,C414)&gt;0,"OK","불일치"))</f>
        <v/>
      </c>
    </row>
    <row r="415" spans="1:9" ht="17" customHeight="1" x14ac:dyDescent="0.35">
      <c r="A415" s="39"/>
      <c r="B415" s="40" t="s">
        <v>22</v>
      </c>
      <c r="C415" s="40"/>
      <c r="D415" s="41" t="s">
        <v>77</v>
      </c>
      <c r="E415" s="40"/>
      <c r="F415" s="40"/>
      <c r="G415" s="42" t="str">
        <f t="shared" si="6"/>
        <v/>
      </c>
      <c r="H415" s="40"/>
      <c r="I415" s="43" t="str">
        <f>IF(OR(B415="",C415=""),"",IF(COUNTIFS(재료목록!$A$2:$A$51,B415,재료목록!$B$2:$B$51,C415)&gt;0,"OK","불일치"))</f>
        <v/>
      </c>
    </row>
    <row r="416" spans="1:9" ht="17" customHeight="1" x14ac:dyDescent="0.35">
      <c r="A416" s="39"/>
      <c r="B416" s="40" t="s">
        <v>22</v>
      </c>
      <c r="C416" s="40"/>
      <c r="D416" s="41" t="s">
        <v>77</v>
      </c>
      <c r="E416" s="40"/>
      <c r="F416" s="40"/>
      <c r="G416" s="42" t="str">
        <f t="shared" si="6"/>
        <v/>
      </c>
      <c r="H416" s="40"/>
      <c r="I416" s="43" t="str">
        <f>IF(OR(B416="",C416=""),"",IF(COUNTIFS(재료목록!$A$2:$A$51,B416,재료목록!$B$2:$B$51,C416)&gt;0,"OK","불일치"))</f>
        <v/>
      </c>
    </row>
    <row r="417" spans="1:9" ht="17" customHeight="1" x14ac:dyDescent="0.35">
      <c r="A417" s="39"/>
      <c r="B417" s="40" t="s">
        <v>22</v>
      </c>
      <c r="C417" s="40"/>
      <c r="D417" s="41" t="s">
        <v>77</v>
      </c>
      <c r="E417" s="40"/>
      <c r="F417" s="40"/>
      <c r="G417" s="42" t="str">
        <f t="shared" si="6"/>
        <v/>
      </c>
      <c r="H417" s="40"/>
      <c r="I417" s="43" t="str">
        <f>IF(OR(B417="",C417=""),"",IF(COUNTIFS(재료목록!$A$2:$A$51,B417,재료목록!$B$2:$B$51,C417)&gt;0,"OK","불일치"))</f>
        <v/>
      </c>
    </row>
    <row r="418" spans="1:9" ht="17" customHeight="1" x14ac:dyDescent="0.35">
      <c r="A418" s="39"/>
      <c r="B418" s="40" t="s">
        <v>22</v>
      </c>
      <c r="C418" s="40"/>
      <c r="D418" s="41" t="s">
        <v>77</v>
      </c>
      <c r="E418" s="40"/>
      <c r="F418" s="40"/>
      <c r="G418" s="42" t="str">
        <f t="shared" si="6"/>
        <v/>
      </c>
      <c r="H418" s="40"/>
      <c r="I418" s="43" t="str">
        <f>IF(OR(B418="",C418=""),"",IF(COUNTIFS(재료목록!$A$2:$A$51,B418,재료목록!$B$2:$B$51,C418)&gt;0,"OK","불일치"))</f>
        <v/>
      </c>
    </row>
    <row r="419" spans="1:9" ht="17" customHeight="1" x14ac:dyDescent="0.35">
      <c r="A419" s="39"/>
      <c r="B419" s="40" t="s">
        <v>22</v>
      </c>
      <c r="C419" s="40"/>
      <c r="D419" s="41" t="s">
        <v>77</v>
      </c>
      <c r="E419" s="40"/>
      <c r="F419" s="40"/>
      <c r="G419" s="42" t="str">
        <f t="shared" si="6"/>
        <v/>
      </c>
      <c r="H419" s="40"/>
      <c r="I419" s="43" t="str">
        <f>IF(OR(B419="",C419=""),"",IF(COUNTIFS(재료목록!$A$2:$A$51,B419,재료목록!$B$2:$B$51,C419)&gt;0,"OK","불일치"))</f>
        <v/>
      </c>
    </row>
    <row r="420" spans="1:9" ht="17" customHeight="1" x14ac:dyDescent="0.35">
      <c r="A420" s="39"/>
      <c r="B420" s="40" t="s">
        <v>22</v>
      </c>
      <c r="C420" s="40"/>
      <c r="D420" s="41" t="s">
        <v>77</v>
      </c>
      <c r="E420" s="40"/>
      <c r="F420" s="40"/>
      <c r="G420" s="42" t="str">
        <f t="shared" si="6"/>
        <v/>
      </c>
      <c r="H420" s="40"/>
      <c r="I420" s="43" t="str">
        <f>IF(OR(B420="",C420=""),"",IF(COUNTIFS(재료목록!$A$2:$A$51,B420,재료목록!$B$2:$B$51,C420)&gt;0,"OK","불일치"))</f>
        <v/>
      </c>
    </row>
    <row r="421" spans="1:9" ht="17" customHeight="1" x14ac:dyDescent="0.35">
      <c r="A421" s="39"/>
      <c r="B421" s="40" t="s">
        <v>22</v>
      </c>
      <c r="C421" s="40"/>
      <c r="D421" s="41" t="s">
        <v>77</v>
      </c>
      <c r="E421" s="40"/>
      <c r="F421" s="40"/>
      <c r="G421" s="42" t="str">
        <f t="shared" si="6"/>
        <v/>
      </c>
      <c r="H421" s="40"/>
      <c r="I421" s="43" t="str">
        <f>IF(OR(B421="",C421=""),"",IF(COUNTIFS(재료목록!$A$2:$A$51,B421,재료목록!$B$2:$B$51,C421)&gt;0,"OK","불일치"))</f>
        <v/>
      </c>
    </row>
    <row r="422" spans="1:9" ht="17" customHeight="1" x14ac:dyDescent="0.35">
      <c r="A422" s="39"/>
      <c r="B422" s="40" t="s">
        <v>22</v>
      </c>
      <c r="C422" s="40"/>
      <c r="D422" s="41" t="s">
        <v>77</v>
      </c>
      <c r="E422" s="40"/>
      <c r="F422" s="40"/>
      <c r="G422" s="42" t="str">
        <f t="shared" si="6"/>
        <v/>
      </c>
      <c r="H422" s="40"/>
      <c r="I422" s="43" t="str">
        <f>IF(OR(B422="",C422=""),"",IF(COUNTIFS(재료목록!$A$2:$A$51,B422,재료목록!$B$2:$B$51,C422)&gt;0,"OK","불일치"))</f>
        <v/>
      </c>
    </row>
    <row r="423" spans="1:9" ht="17" customHeight="1" x14ac:dyDescent="0.35">
      <c r="A423" s="39"/>
      <c r="B423" s="40" t="s">
        <v>22</v>
      </c>
      <c r="C423" s="40"/>
      <c r="D423" s="41" t="s">
        <v>77</v>
      </c>
      <c r="E423" s="40"/>
      <c r="F423" s="40"/>
      <c r="G423" s="42" t="str">
        <f t="shared" si="6"/>
        <v/>
      </c>
      <c r="H423" s="40"/>
      <c r="I423" s="43" t="str">
        <f>IF(OR(B423="",C423=""),"",IF(COUNTIFS(재료목록!$A$2:$A$51,B423,재료목록!$B$2:$B$51,C423)&gt;0,"OK","불일치"))</f>
        <v/>
      </c>
    </row>
    <row r="424" spans="1:9" ht="17" customHeight="1" x14ac:dyDescent="0.35">
      <c r="A424" s="39"/>
      <c r="B424" s="40" t="s">
        <v>22</v>
      </c>
      <c r="C424" s="40"/>
      <c r="D424" s="41" t="s">
        <v>77</v>
      </c>
      <c r="E424" s="40"/>
      <c r="F424" s="40"/>
      <c r="G424" s="42" t="str">
        <f t="shared" si="6"/>
        <v/>
      </c>
      <c r="H424" s="40"/>
      <c r="I424" s="43" t="str">
        <f>IF(OR(B424="",C424=""),"",IF(COUNTIFS(재료목록!$A$2:$A$51,B424,재료목록!$B$2:$B$51,C424)&gt;0,"OK","불일치"))</f>
        <v/>
      </c>
    </row>
    <row r="425" spans="1:9" ht="17" customHeight="1" x14ac:dyDescent="0.35">
      <c r="A425" s="39"/>
      <c r="B425" s="40" t="s">
        <v>22</v>
      </c>
      <c r="C425" s="40"/>
      <c r="D425" s="41" t="s">
        <v>77</v>
      </c>
      <c r="E425" s="40"/>
      <c r="F425" s="40"/>
      <c r="G425" s="42" t="str">
        <f t="shared" si="6"/>
        <v/>
      </c>
      <c r="H425" s="40"/>
      <c r="I425" s="43" t="str">
        <f>IF(OR(B425="",C425=""),"",IF(COUNTIFS(재료목록!$A$2:$A$51,B425,재료목록!$B$2:$B$51,C425)&gt;0,"OK","불일치"))</f>
        <v/>
      </c>
    </row>
    <row r="426" spans="1:9" ht="17" customHeight="1" x14ac:dyDescent="0.35">
      <c r="A426" s="39"/>
      <c r="B426" s="40" t="s">
        <v>22</v>
      </c>
      <c r="C426" s="40"/>
      <c r="D426" s="41" t="s">
        <v>77</v>
      </c>
      <c r="E426" s="40"/>
      <c r="F426" s="40"/>
      <c r="G426" s="42" t="str">
        <f t="shared" si="6"/>
        <v/>
      </c>
      <c r="H426" s="40"/>
      <c r="I426" s="43" t="str">
        <f>IF(OR(B426="",C426=""),"",IF(COUNTIFS(재료목록!$A$2:$A$51,B426,재료목록!$B$2:$B$51,C426)&gt;0,"OK","불일치"))</f>
        <v/>
      </c>
    </row>
    <row r="427" spans="1:9" ht="17" customHeight="1" x14ac:dyDescent="0.35">
      <c r="A427" s="39"/>
      <c r="B427" s="40" t="s">
        <v>22</v>
      </c>
      <c r="C427" s="40"/>
      <c r="D427" s="41" t="s">
        <v>77</v>
      </c>
      <c r="E427" s="40"/>
      <c r="F427" s="40"/>
      <c r="G427" s="42" t="str">
        <f t="shared" si="6"/>
        <v/>
      </c>
      <c r="H427" s="40"/>
      <c r="I427" s="43" t="str">
        <f>IF(OR(B427="",C427=""),"",IF(COUNTIFS(재료목록!$A$2:$A$51,B427,재료목록!$B$2:$B$51,C427)&gt;0,"OK","불일치"))</f>
        <v/>
      </c>
    </row>
    <row r="428" spans="1:9" ht="17" customHeight="1" x14ac:dyDescent="0.35">
      <c r="A428" s="39"/>
      <c r="B428" s="40" t="s">
        <v>22</v>
      </c>
      <c r="C428" s="40"/>
      <c r="D428" s="41" t="s">
        <v>77</v>
      </c>
      <c r="E428" s="40"/>
      <c r="F428" s="40"/>
      <c r="G428" s="42" t="str">
        <f t="shared" si="6"/>
        <v/>
      </c>
      <c r="H428" s="40"/>
      <c r="I428" s="43" t="str">
        <f>IF(OR(B428="",C428=""),"",IF(COUNTIFS(재료목록!$A$2:$A$51,B428,재료목록!$B$2:$B$51,C428)&gt;0,"OK","불일치"))</f>
        <v/>
      </c>
    </row>
    <row r="429" spans="1:9" ht="17" customHeight="1" x14ac:dyDescent="0.35">
      <c r="A429" s="39"/>
      <c r="B429" s="40" t="s">
        <v>22</v>
      </c>
      <c r="C429" s="40"/>
      <c r="D429" s="41" t="s">
        <v>77</v>
      </c>
      <c r="E429" s="40"/>
      <c r="F429" s="40"/>
      <c r="G429" s="42" t="str">
        <f t="shared" si="6"/>
        <v/>
      </c>
      <c r="H429" s="40"/>
      <c r="I429" s="43" t="str">
        <f>IF(OR(B429="",C429=""),"",IF(COUNTIFS(재료목록!$A$2:$A$51,B429,재료목록!$B$2:$B$51,C429)&gt;0,"OK","불일치"))</f>
        <v/>
      </c>
    </row>
    <row r="430" spans="1:9" ht="17" customHeight="1" x14ac:dyDescent="0.35">
      <c r="A430" s="39"/>
      <c r="B430" s="40" t="s">
        <v>22</v>
      </c>
      <c r="C430" s="40"/>
      <c r="D430" s="41" t="s">
        <v>77</v>
      </c>
      <c r="E430" s="40"/>
      <c r="F430" s="40"/>
      <c r="G430" s="42" t="str">
        <f t="shared" si="6"/>
        <v/>
      </c>
      <c r="H430" s="40"/>
      <c r="I430" s="43" t="str">
        <f>IF(OR(B430="",C430=""),"",IF(COUNTIFS(재료목록!$A$2:$A$51,B430,재료목록!$B$2:$B$51,C430)&gt;0,"OK","불일치"))</f>
        <v/>
      </c>
    </row>
    <row r="431" spans="1:9" ht="17" customHeight="1" x14ac:dyDescent="0.35">
      <c r="A431" s="39"/>
      <c r="B431" s="40" t="s">
        <v>22</v>
      </c>
      <c r="C431" s="40"/>
      <c r="D431" s="41" t="s">
        <v>77</v>
      </c>
      <c r="E431" s="40"/>
      <c r="F431" s="40"/>
      <c r="G431" s="42" t="str">
        <f t="shared" si="6"/>
        <v/>
      </c>
      <c r="H431" s="40"/>
      <c r="I431" s="43" t="str">
        <f>IF(OR(B431="",C431=""),"",IF(COUNTIFS(재료목록!$A$2:$A$51,B431,재료목록!$B$2:$B$51,C431)&gt;0,"OK","불일치"))</f>
        <v/>
      </c>
    </row>
    <row r="432" spans="1:9" ht="17" customHeight="1" x14ac:dyDescent="0.35">
      <c r="A432" s="39"/>
      <c r="B432" s="40" t="s">
        <v>22</v>
      </c>
      <c r="C432" s="40"/>
      <c r="D432" s="41" t="s">
        <v>77</v>
      </c>
      <c r="E432" s="40"/>
      <c r="F432" s="40"/>
      <c r="G432" s="42" t="str">
        <f t="shared" si="6"/>
        <v/>
      </c>
      <c r="H432" s="40"/>
      <c r="I432" s="43" t="str">
        <f>IF(OR(B432="",C432=""),"",IF(COUNTIFS(재료목록!$A$2:$A$51,B432,재료목록!$B$2:$B$51,C432)&gt;0,"OK","불일치"))</f>
        <v/>
      </c>
    </row>
    <row r="433" spans="1:9" ht="17" customHeight="1" x14ac:dyDescent="0.35">
      <c r="A433" s="39"/>
      <c r="B433" s="40" t="s">
        <v>22</v>
      </c>
      <c r="C433" s="40"/>
      <c r="D433" s="41" t="s">
        <v>77</v>
      </c>
      <c r="E433" s="40"/>
      <c r="F433" s="40"/>
      <c r="G433" s="42" t="str">
        <f t="shared" si="6"/>
        <v/>
      </c>
      <c r="H433" s="40"/>
      <c r="I433" s="43" t="str">
        <f>IF(OR(B433="",C433=""),"",IF(COUNTIFS(재료목록!$A$2:$A$51,B433,재료목록!$B$2:$B$51,C433)&gt;0,"OK","불일치"))</f>
        <v/>
      </c>
    </row>
    <row r="434" spans="1:9" ht="17" customHeight="1" x14ac:dyDescent="0.35">
      <c r="A434" s="39"/>
      <c r="B434" s="40" t="s">
        <v>22</v>
      </c>
      <c r="C434" s="40"/>
      <c r="D434" s="41" t="s">
        <v>77</v>
      </c>
      <c r="E434" s="40"/>
      <c r="F434" s="40"/>
      <c r="G434" s="42" t="str">
        <f t="shared" si="6"/>
        <v/>
      </c>
      <c r="H434" s="40"/>
      <c r="I434" s="43" t="str">
        <f>IF(OR(B434="",C434=""),"",IF(COUNTIFS(재료목록!$A$2:$A$51,B434,재료목록!$B$2:$B$51,C434)&gt;0,"OK","불일치"))</f>
        <v/>
      </c>
    </row>
    <row r="435" spans="1:9" ht="17" customHeight="1" x14ac:dyDescent="0.35">
      <c r="A435" s="39"/>
      <c r="B435" s="40" t="s">
        <v>22</v>
      </c>
      <c r="C435" s="40"/>
      <c r="D435" s="41" t="s">
        <v>77</v>
      </c>
      <c r="E435" s="40"/>
      <c r="F435" s="40"/>
      <c r="G435" s="42" t="str">
        <f t="shared" si="6"/>
        <v/>
      </c>
      <c r="H435" s="40"/>
      <c r="I435" s="43" t="str">
        <f>IF(OR(B435="",C435=""),"",IF(COUNTIFS(재료목록!$A$2:$A$51,B435,재료목록!$B$2:$B$51,C435)&gt;0,"OK","불일치"))</f>
        <v/>
      </c>
    </row>
    <row r="436" spans="1:9" ht="17" customHeight="1" x14ac:dyDescent="0.35">
      <c r="A436" s="39"/>
      <c r="B436" s="40" t="s">
        <v>22</v>
      </c>
      <c r="C436" s="40"/>
      <c r="D436" s="41" t="s">
        <v>77</v>
      </c>
      <c r="E436" s="40"/>
      <c r="F436" s="40"/>
      <c r="G436" s="42" t="str">
        <f t="shared" si="6"/>
        <v/>
      </c>
      <c r="H436" s="40"/>
      <c r="I436" s="43" t="str">
        <f>IF(OR(B436="",C436=""),"",IF(COUNTIFS(재료목록!$A$2:$A$51,B436,재료목록!$B$2:$B$51,C436)&gt;0,"OK","불일치"))</f>
        <v/>
      </c>
    </row>
    <row r="437" spans="1:9" ht="17" customHeight="1" x14ac:dyDescent="0.35">
      <c r="A437" s="39"/>
      <c r="B437" s="40" t="s">
        <v>22</v>
      </c>
      <c r="C437" s="40"/>
      <c r="D437" s="41" t="s">
        <v>77</v>
      </c>
      <c r="E437" s="40"/>
      <c r="F437" s="40"/>
      <c r="G437" s="42" t="str">
        <f t="shared" si="6"/>
        <v/>
      </c>
      <c r="H437" s="40"/>
      <c r="I437" s="43" t="str">
        <f>IF(OR(B437="",C437=""),"",IF(COUNTIFS(재료목록!$A$2:$A$51,B437,재료목록!$B$2:$B$51,C437)&gt;0,"OK","불일치"))</f>
        <v/>
      </c>
    </row>
    <row r="438" spans="1:9" ht="17" customHeight="1" x14ac:dyDescent="0.35">
      <c r="A438" s="39"/>
      <c r="B438" s="40" t="s">
        <v>22</v>
      </c>
      <c r="C438" s="40"/>
      <c r="D438" s="41" t="s">
        <v>77</v>
      </c>
      <c r="E438" s="40"/>
      <c r="F438" s="40"/>
      <c r="G438" s="42" t="str">
        <f t="shared" si="6"/>
        <v/>
      </c>
      <c r="H438" s="40"/>
      <c r="I438" s="43" t="str">
        <f>IF(OR(B438="",C438=""),"",IF(COUNTIFS(재료목록!$A$2:$A$51,B438,재료목록!$B$2:$B$51,C438)&gt;0,"OK","불일치"))</f>
        <v/>
      </c>
    </row>
    <row r="439" spans="1:9" ht="17" customHeight="1" x14ac:dyDescent="0.35">
      <c r="A439" s="39"/>
      <c r="B439" s="40" t="s">
        <v>22</v>
      </c>
      <c r="C439" s="40"/>
      <c r="D439" s="41" t="s">
        <v>77</v>
      </c>
      <c r="E439" s="40"/>
      <c r="F439" s="40"/>
      <c r="G439" s="42" t="str">
        <f t="shared" si="6"/>
        <v/>
      </c>
      <c r="H439" s="40"/>
      <c r="I439" s="43" t="str">
        <f>IF(OR(B439="",C439=""),"",IF(COUNTIFS(재료목록!$A$2:$A$51,B439,재료목록!$B$2:$B$51,C439)&gt;0,"OK","불일치"))</f>
        <v/>
      </c>
    </row>
    <row r="440" spans="1:9" ht="17" customHeight="1" x14ac:dyDescent="0.35">
      <c r="A440" s="39"/>
      <c r="B440" s="40" t="s">
        <v>22</v>
      </c>
      <c r="C440" s="40"/>
      <c r="D440" s="41" t="s">
        <v>77</v>
      </c>
      <c r="E440" s="40"/>
      <c r="F440" s="40"/>
      <c r="G440" s="42" t="str">
        <f t="shared" si="6"/>
        <v/>
      </c>
      <c r="H440" s="40"/>
      <c r="I440" s="43" t="str">
        <f>IF(OR(B440="",C440=""),"",IF(COUNTIFS(재료목록!$A$2:$A$51,B440,재료목록!$B$2:$B$51,C440)&gt;0,"OK","불일치"))</f>
        <v/>
      </c>
    </row>
    <row r="441" spans="1:9" ht="17" customHeight="1" x14ac:dyDescent="0.35">
      <c r="A441" s="39"/>
      <c r="B441" s="40" t="s">
        <v>22</v>
      </c>
      <c r="C441" s="40"/>
      <c r="D441" s="41" t="s">
        <v>77</v>
      </c>
      <c r="E441" s="40"/>
      <c r="F441" s="40"/>
      <c r="G441" s="42" t="str">
        <f t="shared" si="6"/>
        <v/>
      </c>
      <c r="H441" s="40"/>
      <c r="I441" s="43" t="str">
        <f>IF(OR(B441="",C441=""),"",IF(COUNTIFS(재료목록!$A$2:$A$51,B441,재료목록!$B$2:$B$51,C441)&gt;0,"OK","불일치"))</f>
        <v/>
      </c>
    </row>
    <row r="442" spans="1:9" ht="17" customHeight="1" x14ac:dyDescent="0.35">
      <c r="A442" s="39"/>
      <c r="B442" s="40" t="s">
        <v>22</v>
      </c>
      <c r="C442" s="40"/>
      <c r="D442" s="41" t="s">
        <v>77</v>
      </c>
      <c r="E442" s="40"/>
      <c r="F442" s="40"/>
      <c r="G442" s="42" t="str">
        <f t="shared" si="6"/>
        <v/>
      </c>
      <c r="H442" s="40"/>
      <c r="I442" s="43" t="str">
        <f>IF(OR(B442="",C442=""),"",IF(COUNTIFS(재료목록!$A$2:$A$51,B442,재료목록!$B$2:$B$51,C442)&gt;0,"OK","불일치"))</f>
        <v/>
      </c>
    </row>
    <row r="443" spans="1:9" ht="17" customHeight="1" x14ac:dyDescent="0.35">
      <c r="A443" s="39"/>
      <c r="B443" s="40" t="s">
        <v>22</v>
      </c>
      <c r="C443" s="40"/>
      <c r="D443" s="41" t="s">
        <v>77</v>
      </c>
      <c r="E443" s="40"/>
      <c r="F443" s="40"/>
      <c r="G443" s="42" t="str">
        <f t="shared" si="6"/>
        <v/>
      </c>
      <c r="H443" s="40"/>
      <c r="I443" s="43" t="str">
        <f>IF(OR(B443="",C443=""),"",IF(COUNTIFS(재료목록!$A$2:$A$51,B443,재료목록!$B$2:$B$51,C443)&gt;0,"OK","불일치"))</f>
        <v/>
      </c>
    </row>
    <row r="444" spans="1:9" ht="17" customHeight="1" x14ac:dyDescent="0.35">
      <c r="A444" s="39"/>
      <c r="B444" s="40" t="s">
        <v>22</v>
      </c>
      <c r="C444" s="40"/>
      <c r="D444" s="41" t="s">
        <v>77</v>
      </c>
      <c r="E444" s="40"/>
      <c r="F444" s="40"/>
      <c r="G444" s="42" t="str">
        <f t="shared" si="6"/>
        <v/>
      </c>
      <c r="H444" s="40"/>
      <c r="I444" s="43" t="str">
        <f>IF(OR(B444="",C444=""),"",IF(COUNTIFS(재료목록!$A$2:$A$51,B444,재료목록!$B$2:$B$51,C444)&gt;0,"OK","불일치"))</f>
        <v/>
      </c>
    </row>
    <row r="445" spans="1:9" ht="17" customHeight="1" x14ac:dyDescent="0.35">
      <c r="A445" s="39"/>
      <c r="B445" s="40" t="s">
        <v>22</v>
      </c>
      <c r="C445" s="40"/>
      <c r="D445" s="41" t="s">
        <v>77</v>
      </c>
      <c r="E445" s="40"/>
      <c r="F445" s="40"/>
      <c r="G445" s="42" t="str">
        <f t="shared" si="6"/>
        <v/>
      </c>
      <c r="H445" s="40"/>
      <c r="I445" s="43" t="str">
        <f>IF(OR(B445="",C445=""),"",IF(COUNTIFS(재료목록!$A$2:$A$51,B445,재료목록!$B$2:$B$51,C445)&gt;0,"OK","불일치"))</f>
        <v/>
      </c>
    </row>
    <row r="446" spans="1:9" ht="17" customHeight="1" x14ac:dyDescent="0.35">
      <c r="A446" s="39"/>
      <c r="B446" s="40" t="s">
        <v>22</v>
      </c>
      <c r="C446" s="40"/>
      <c r="D446" s="41" t="s">
        <v>77</v>
      </c>
      <c r="E446" s="40"/>
      <c r="F446" s="40"/>
      <c r="G446" s="42" t="str">
        <f t="shared" si="6"/>
        <v/>
      </c>
      <c r="H446" s="40"/>
      <c r="I446" s="43" t="str">
        <f>IF(OR(B446="",C446=""),"",IF(COUNTIFS(재료목록!$A$2:$A$51,B446,재료목록!$B$2:$B$51,C446)&gt;0,"OK","불일치"))</f>
        <v/>
      </c>
    </row>
    <row r="447" spans="1:9" ht="17" customHeight="1" x14ac:dyDescent="0.35">
      <c r="A447" s="39"/>
      <c r="B447" s="40" t="s">
        <v>22</v>
      </c>
      <c r="C447" s="40"/>
      <c r="D447" s="41" t="s">
        <v>77</v>
      </c>
      <c r="E447" s="40"/>
      <c r="F447" s="40"/>
      <c r="G447" s="42" t="str">
        <f t="shared" si="6"/>
        <v/>
      </c>
      <c r="H447" s="40"/>
      <c r="I447" s="43" t="str">
        <f>IF(OR(B447="",C447=""),"",IF(COUNTIFS(재료목록!$A$2:$A$51,B447,재료목록!$B$2:$B$51,C447)&gt;0,"OK","불일치"))</f>
        <v/>
      </c>
    </row>
    <row r="448" spans="1:9" ht="17" customHeight="1" x14ac:dyDescent="0.35">
      <c r="A448" s="39"/>
      <c r="B448" s="40" t="s">
        <v>22</v>
      </c>
      <c r="C448" s="40"/>
      <c r="D448" s="41" t="s">
        <v>77</v>
      </c>
      <c r="E448" s="40"/>
      <c r="F448" s="40"/>
      <c r="G448" s="42" t="str">
        <f t="shared" si="6"/>
        <v/>
      </c>
      <c r="H448" s="40"/>
      <c r="I448" s="43" t="str">
        <f>IF(OR(B448="",C448=""),"",IF(COUNTIFS(재료목록!$A$2:$A$51,B448,재료목록!$B$2:$B$51,C448)&gt;0,"OK","불일치"))</f>
        <v/>
      </c>
    </row>
    <row r="449" spans="1:9" ht="17" customHeight="1" x14ac:dyDescent="0.35">
      <c r="A449" s="39"/>
      <c r="B449" s="40" t="s">
        <v>22</v>
      </c>
      <c r="C449" s="40"/>
      <c r="D449" s="41" t="s">
        <v>77</v>
      </c>
      <c r="E449" s="40"/>
      <c r="F449" s="40"/>
      <c r="G449" s="42" t="str">
        <f t="shared" si="6"/>
        <v/>
      </c>
      <c r="H449" s="40"/>
      <c r="I449" s="43" t="str">
        <f>IF(OR(B449="",C449=""),"",IF(COUNTIFS(재료목록!$A$2:$A$51,B449,재료목록!$B$2:$B$51,C449)&gt;0,"OK","불일치"))</f>
        <v/>
      </c>
    </row>
    <row r="450" spans="1:9" ht="17" customHeight="1" x14ac:dyDescent="0.35">
      <c r="A450" s="39"/>
      <c r="B450" s="40" t="s">
        <v>22</v>
      </c>
      <c r="C450" s="40"/>
      <c r="D450" s="41" t="s">
        <v>77</v>
      </c>
      <c r="E450" s="40"/>
      <c r="F450" s="40"/>
      <c r="G450" s="42" t="str">
        <f t="shared" ref="G450:G513" si="7">IF(OR(E450="",F450=""),"",E450*F450)</f>
        <v/>
      </c>
      <c r="H450" s="40"/>
      <c r="I450" s="43" t="str">
        <f>IF(OR(B450="",C450=""),"",IF(COUNTIFS(재료목록!$A$2:$A$51,B450,재료목록!$B$2:$B$51,C450)&gt;0,"OK","불일치"))</f>
        <v/>
      </c>
    </row>
    <row r="451" spans="1:9" ht="17" customHeight="1" x14ac:dyDescent="0.35">
      <c r="A451" s="39"/>
      <c r="B451" s="40" t="s">
        <v>22</v>
      </c>
      <c r="C451" s="40"/>
      <c r="D451" s="41" t="s">
        <v>77</v>
      </c>
      <c r="E451" s="40"/>
      <c r="F451" s="40"/>
      <c r="G451" s="42" t="str">
        <f t="shared" si="7"/>
        <v/>
      </c>
      <c r="H451" s="40"/>
      <c r="I451" s="43" t="str">
        <f>IF(OR(B451="",C451=""),"",IF(COUNTIFS(재료목록!$A$2:$A$51,B451,재료목록!$B$2:$B$51,C451)&gt;0,"OK","불일치"))</f>
        <v/>
      </c>
    </row>
    <row r="452" spans="1:9" ht="17" customHeight="1" x14ac:dyDescent="0.35">
      <c r="A452" s="39"/>
      <c r="B452" s="40" t="s">
        <v>22</v>
      </c>
      <c r="C452" s="40"/>
      <c r="D452" s="41" t="s">
        <v>77</v>
      </c>
      <c r="E452" s="40"/>
      <c r="F452" s="40"/>
      <c r="G452" s="42" t="str">
        <f t="shared" si="7"/>
        <v/>
      </c>
      <c r="H452" s="40"/>
      <c r="I452" s="43" t="str">
        <f>IF(OR(B452="",C452=""),"",IF(COUNTIFS(재료목록!$A$2:$A$51,B452,재료목록!$B$2:$B$51,C452)&gt;0,"OK","불일치"))</f>
        <v/>
      </c>
    </row>
    <row r="453" spans="1:9" ht="17" customHeight="1" x14ac:dyDescent="0.35">
      <c r="A453" s="39"/>
      <c r="B453" s="40" t="s">
        <v>22</v>
      </c>
      <c r="C453" s="40"/>
      <c r="D453" s="41" t="s">
        <v>77</v>
      </c>
      <c r="E453" s="40"/>
      <c r="F453" s="40"/>
      <c r="G453" s="42" t="str">
        <f t="shared" si="7"/>
        <v/>
      </c>
      <c r="H453" s="40"/>
      <c r="I453" s="43" t="str">
        <f>IF(OR(B453="",C453=""),"",IF(COUNTIFS(재료목록!$A$2:$A$51,B453,재료목록!$B$2:$B$51,C453)&gt;0,"OK","불일치"))</f>
        <v/>
      </c>
    </row>
    <row r="454" spans="1:9" ht="17" customHeight="1" x14ac:dyDescent="0.35">
      <c r="A454" s="39"/>
      <c r="B454" s="40" t="s">
        <v>22</v>
      </c>
      <c r="C454" s="40"/>
      <c r="D454" s="41" t="s">
        <v>77</v>
      </c>
      <c r="E454" s="40"/>
      <c r="F454" s="40"/>
      <c r="G454" s="42" t="str">
        <f t="shared" si="7"/>
        <v/>
      </c>
      <c r="H454" s="40"/>
      <c r="I454" s="43" t="str">
        <f>IF(OR(B454="",C454=""),"",IF(COUNTIFS(재료목록!$A$2:$A$51,B454,재료목록!$B$2:$B$51,C454)&gt;0,"OK","불일치"))</f>
        <v/>
      </c>
    </row>
    <row r="455" spans="1:9" ht="17" customHeight="1" x14ac:dyDescent="0.35">
      <c r="A455" s="39"/>
      <c r="B455" s="40" t="s">
        <v>22</v>
      </c>
      <c r="C455" s="40"/>
      <c r="D455" s="41" t="s">
        <v>77</v>
      </c>
      <c r="E455" s="40"/>
      <c r="F455" s="40"/>
      <c r="G455" s="42" t="str">
        <f t="shared" si="7"/>
        <v/>
      </c>
      <c r="H455" s="40"/>
      <c r="I455" s="43" t="str">
        <f>IF(OR(B455="",C455=""),"",IF(COUNTIFS(재료목록!$A$2:$A$51,B455,재료목록!$B$2:$B$51,C455)&gt;0,"OK","불일치"))</f>
        <v/>
      </c>
    </row>
    <row r="456" spans="1:9" ht="17" customHeight="1" x14ac:dyDescent="0.35">
      <c r="A456" s="39"/>
      <c r="B456" s="40" t="s">
        <v>22</v>
      </c>
      <c r="C456" s="40"/>
      <c r="D456" s="41" t="s">
        <v>77</v>
      </c>
      <c r="E456" s="40"/>
      <c r="F456" s="40"/>
      <c r="G456" s="42" t="str">
        <f t="shared" si="7"/>
        <v/>
      </c>
      <c r="H456" s="40"/>
      <c r="I456" s="43" t="str">
        <f>IF(OR(B456="",C456=""),"",IF(COUNTIFS(재료목록!$A$2:$A$51,B456,재료목록!$B$2:$B$51,C456)&gt;0,"OK","불일치"))</f>
        <v/>
      </c>
    </row>
    <row r="457" spans="1:9" ht="17" customHeight="1" x14ac:dyDescent="0.35">
      <c r="A457" s="39"/>
      <c r="B457" s="40" t="s">
        <v>22</v>
      </c>
      <c r="C457" s="40"/>
      <c r="D457" s="41" t="s">
        <v>77</v>
      </c>
      <c r="E457" s="40"/>
      <c r="F457" s="40"/>
      <c r="G457" s="42" t="str">
        <f t="shared" si="7"/>
        <v/>
      </c>
      <c r="H457" s="40"/>
      <c r="I457" s="43" t="str">
        <f>IF(OR(B457="",C457=""),"",IF(COUNTIFS(재료목록!$A$2:$A$51,B457,재료목록!$B$2:$B$51,C457)&gt;0,"OK","불일치"))</f>
        <v/>
      </c>
    </row>
    <row r="458" spans="1:9" ht="17" customHeight="1" x14ac:dyDescent="0.35">
      <c r="A458" s="39"/>
      <c r="B458" s="40" t="s">
        <v>22</v>
      </c>
      <c r="C458" s="40"/>
      <c r="D458" s="41" t="s">
        <v>77</v>
      </c>
      <c r="E458" s="40"/>
      <c r="F458" s="40"/>
      <c r="G458" s="42" t="str">
        <f t="shared" si="7"/>
        <v/>
      </c>
      <c r="H458" s="40"/>
      <c r="I458" s="43" t="str">
        <f>IF(OR(B458="",C458=""),"",IF(COUNTIFS(재료목록!$A$2:$A$51,B458,재료목록!$B$2:$B$51,C458)&gt;0,"OK","불일치"))</f>
        <v/>
      </c>
    </row>
    <row r="459" spans="1:9" ht="17" customHeight="1" x14ac:dyDescent="0.35">
      <c r="A459" s="39"/>
      <c r="B459" s="40" t="s">
        <v>22</v>
      </c>
      <c r="C459" s="40"/>
      <c r="D459" s="41" t="s">
        <v>77</v>
      </c>
      <c r="E459" s="40"/>
      <c r="F459" s="40"/>
      <c r="G459" s="42" t="str">
        <f t="shared" si="7"/>
        <v/>
      </c>
      <c r="H459" s="40"/>
      <c r="I459" s="43" t="str">
        <f>IF(OR(B459="",C459=""),"",IF(COUNTIFS(재료목록!$A$2:$A$51,B459,재료목록!$B$2:$B$51,C459)&gt;0,"OK","불일치"))</f>
        <v/>
      </c>
    </row>
    <row r="460" spans="1:9" ht="17" customHeight="1" x14ac:dyDescent="0.35">
      <c r="A460" s="39"/>
      <c r="B460" s="40" t="s">
        <v>22</v>
      </c>
      <c r="C460" s="40"/>
      <c r="D460" s="41" t="s">
        <v>77</v>
      </c>
      <c r="E460" s="40"/>
      <c r="F460" s="40"/>
      <c r="G460" s="42" t="str">
        <f t="shared" si="7"/>
        <v/>
      </c>
      <c r="H460" s="40"/>
      <c r="I460" s="43" t="str">
        <f>IF(OR(B460="",C460=""),"",IF(COUNTIFS(재료목록!$A$2:$A$51,B460,재료목록!$B$2:$B$51,C460)&gt;0,"OK","불일치"))</f>
        <v/>
      </c>
    </row>
    <row r="461" spans="1:9" ht="17" customHeight="1" x14ac:dyDescent="0.35">
      <c r="A461" s="39"/>
      <c r="B461" s="40" t="s">
        <v>22</v>
      </c>
      <c r="C461" s="40"/>
      <c r="D461" s="41" t="s">
        <v>77</v>
      </c>
      <c r="E461" s="40"/>
      <c r="F461" s="40"/>
      <c r="G461" s="42" t="str">
        <f t="shared" si="7"/>
        <v/>
      </c>
      <c r="H461" s="40"/>
      <c r="I461" s="43" t="str">
        <f>IF(OR(B461="",C461=""),"",IF(COUNTIFS(재료목록!$A$2:$A$51,B461,재료목록!$B$2:$B$51,C461)&gt;0,"OK","불일치"))</f>
        <v/>
      </c>
    </row>
    <row r="462" spans="1:9" ht="17" customHeight="1" x14ac:dyDescent="0.35">
      <c r="A462" s="39"/>
      <c r="B462" s="40" t="s">
        <v>22</v>
      </c>
      <c r="C462" s="40"/>
      <c r="D462" s="41" t="s">
        <v>77</v>
      </c>
      <c r="E462" s="40"/>
      <c r="F462" s="40"/>
      <c r="G462" s="42" t="str">
        <f t="shared" si="7"/>
        <v/>
      </c>
      <c r="H462" s="40"/>
      <c r="I462" s="43" t="str">
        <f>IF(OR(B462="",C462=""),"",IF(COUNTIFS(재료목록!$A$2:$A$51,B462,재료목록!$B$2:$B$51,C462)&gt;0,"OK","불일치"))</f>
        <v/>
      </c>
    </row>
    <row r="463" spans="1:9" ht="17" customHeight="1" x14ac:dyDescent="0.35">
      <c r="A463" s="39"/>
      <c r="B463" s="40" t="s">
        <v>22</v>
      </c>
      <c r="C463" s="40"/>
      <c r="D463" s="41" t="s">
        <v>77</v>
      </c>
      <c r="E463" s="40"/>
      <c r="F463" s="40"/>
      <c r="G463" s="42" t="str">
        <f t="shared" si="7"/>
        <v/>
      </c>
      <c r="H463" s="40"/>
      <c r="I463" s="43" t="str">
        <f>IF(OR(B463="",C463=""),"",IF(COUNTIFS(재료목록!$A$2:$A$51,B463,재료목록!$B$2:$B$51,C463)&gt;0,"OK","불일치"))</f>
        <v/>
      </c>
    </row>
    <row r="464" spans="1:9" ht="17" customHeight="1" x14ac:dyDescent="0.35">
      <c r="A464" s="39"/>
      <c r="B464" s="40" t="s">
        <v>22</v>
      </c>
      <c r="C464" s="40"/>
      <c r="D464" s="41" t="s">
        <v>77</v>
      </c>
      <c r="E464" s="40"/>
      <c r="F464" s="40"/>
      <c r="G464" s="42" t="str">
        <f t="shared" si="7"/>
        <v/>
      </c>
      <c r="H464" s="40"/>
      <c r="I464" s="43" t="str">
        <f>IF(OR(B464="",C464=""),"",IF(COUNTIFS(재료목록!$A$2:$A$51,B464,재료목록!$B$2:$B$51,C464)&gt;0,"OK","불일치"))</f>
        <v/>
      </c>
    </row>
    <row r="465" spans="1:9" ht="17" customHeight="1" x14ac:dyDescent="0.35">
      <c r="A465" s="39"/>
      <c r="B465" s="40"/>
      <c r="C465" s="40"/>
      <c r="D465" s="41" t="s">
        <v>77</v>
      </c>
      <c r="E465" s="40"/>
      <c r="F465" s="40"/>
      <c r="G465" s="42" t="str">
        <f t="shared" si="7"/>
        <v/>
      </c>
      <c r="H465" s="40"/>
      <c r="I465" s="43" t="str">
        <f>IF(OR(B465="",C465=""),"",IF(COUNTIFS(재료목록!$A$2:$A$51,B465,재료목록!$B$2:$B$51,C465)&gt;0,"OK","불일치"))</f>
        <v/>
      </c>
    </row>
    <row r="466" spans="1:9" ht="17" customHeight="1" x14ac:dyDescent="0.35">
      <c r="A466" s="39"/>
      <c r="B466" s="40"/>
      <c r="C466" s="40"/>
      <c r="D466" s="41" t="s">
        <v>77</v>
      </c>
      <c r="E466" s="40"/>
      <c r="F466" s="40"/>
      <c r="G466" s="42" t="str">
        <f t="shared" si="7"/>
        <v/>
      </c>
      <c r="H466" s="40"/>
      <c r="I466" s="43" t="str">
        <f>IF(OR(B466="",C466=""),"",IF(COUNTIFS(재료목록!$A$2:$A$51,B466,재료목록!$B$2:$B$51,C466)&gt;0,"OK","불일치"))</f>
        <v/>
      </c>
    </row>
    <row r="467" spans="1:9" ht="17" customHeight="1" x14ac:dyDescent="0.35">
      <c r="A467" s="39"/>
      <c r="B467" s="40"/>
      <c r="C467" s="40"/>
      <c r="D467" s="41" t="s">
        <v>77</v>
      </c>
      <c r="E467" s="40"/>
      <c r="F467" s="40"/>
      <c r="G467" s="42" t="str">
        <f t="shared" si="7"/>
        <v/>
      </c>
      <c r="H467" s="40"/>
      <c r="I467" s="43" t="str">
        <f>IF(OR(B467="",C467=""),"",IF(COUNTIFS(재료목록!$A$2:$A$51,B467,재료목록!$B$2:$B$51,C467)&gt;0,"OK","불일치"))</f>
        <v/>
      </c>
    </row>
    <row r="468" spans="1:9" ht="17" customHeight="1" x14ac:dyDescent="0.35">
      <c r="A468" s="39"/>
      <c r="B468" s="40"/>
      <c r="C468" s="40"/>
      <c r="D468" s="41" t="s">
        <v>77</v>
      </c>
      <c r="E468" s="40"/>
      <c r="F468" s="40"/>
      <c r="G468" s="42" t="str">
        <f t="shared" si="7"/>
        <v/>
      </c>
      <c r="H468" s="40"/>
      <c r="I468" s="43" t="str">
        <f>IF(OR(B468="",C468=""),"",IF(COUNTIFS(재료목록!$A$2:$A$51,B468,재료목록!$B$2:$B$51,C468)&gt;0,"OK","불일치"))</f>
        <v/>
      </c>
    </row>
    <row r="469" spans="1:9" ht="17" customHeight="1" x14ac:dyDescent="0.35">
      <c r="A469" s="39"/>
      <c r="B469" s="40"/>
      <c r="C469" s="40"/>
      <c r="D469" s="41" t="s">
        <v>77</v>
      </c>
      <c r="E469" s="40"/>
      <c r="F469" s="40"/>
      <c r="G469" s="42" t="str">
        <f t="shared" si="7"/>
        <v/>
      </c>
      <c r="H469" s="40"/>
      <c r="I469" s="43" t="str">
        <f>IF(OR(B469="",C469=""),"",IF(COUNTIFS(재료목록!$A$2:$A$51,B469,재료목록!$B$2:$B$51,C469)&gt;0,"OK","불일치"))</f>
        <v/>
      </c>
    </row>
    <row r="470" spans="1:9" ht="17" customHeight="1" x14ac:dyDescent="0.35">
      <c r="A470" s="39"/>
      <c r="B470" s="40"/>
      <c r="C470" s="40"/>
      <c r="D470" s="41" t="s">
        <v>77</v>
      </c>
      <c r="E470" s="40"/>
      <c r="F470" s="40"/>
      <c r="G470" s="42" t="str">
        <f t="shared" si="7"/>
        <v/>
      </c>
      <c r="H470" s="40"/>
      <c r="I470" s="43" t="str">
        <f>IF(OR(B470="",C470=""),"",IF(COUNTIFS(재료목록!$A$2:$A$51,B470,재료목록!$B$2:$B$51,C470)&gt;0,"OK","불일치"))</f>
        <v/>
      </c>
    </row>
    <row r="471" spans="1:9" ht="17" customHeight="1" x14ac:dyDescent="0.35">
      <c r="A471" s="39"/>
      <c r="B471" s="40"/>
      <c r="C471" s="40"/>
      <c r="D471" s="41" t="s">
        <v>77</v>
      </c>
      <c r="E471" s="40"/>
      <c r="F471" s="40"/>
      <c r="G471" s="42" t="str">
        <f t="shared" si="7"/>
        <v/>
      </c>
      <c r="H471" s="40"/>
      <c r="I471" s="43" t="str">
        <f>IF(OR(B471="",C471=""),"",IF(COUNTIFS(재료목록!$A$2:$A$51,B471,재료목록!$B$2:$B$51,C471)&gt;0,"OK","불일치"))</f>
        <v/>
      </c>
    </row>
    <row r="472" spans="1:9" ht="17" customHeight="1" x14ac:dyDescent="0.35">
      <c r="A472" s="39"/>
      <c r="B472" s="40"/>
      <c r="C472" s="40"/>
      <c r="D472" s="41" t="s">
        <v>77</v>
      </c>
      <c r="E472" s="40"/>
      <c r="F472" s="40"/>
      <c r="G472" s="42" t="str">
        <f t="shared" si="7"/>
        <v/>
      </c>
      <c r="H472" s="40"/>
      <c r="I472" s="43" t="str">
        <f>IF(OR(B472="",C472=""),"",IF(COUNTIFS(재료목록!$A$2:$A$51,B472,재료목록!$B$2:$B$51,C472)&gt;0,"OK","불일치"))</f>
        <v/>
      </c>
    </row>
    <row r="473" spans="1:9" ht="17" customHeight="1" x14ac:dyDescent="0.35">
      <c r="A473" s="39"/>
      <c r="B473" s="40"/>
      <c r="C473" s="40"/>
      <c r="D473" s="41" t="s">
        <v>77</v>
      </c>
      <c r="E473" s="40"/>
      <c r="F473" s="40"/>
      <c r="G473" s="42" t="str">
        <f t="shared" si="7"/>
        <v/>
      </c>
      <c r="H473" s="40"/>
      <c r="I473" s="43" t="str">
        <f>IF(OR(B473="",C473=""),"",IF(COUNTIFS(재료목록!$A$2:$A$51,B473,재료목록!$B$2:$B$51,C473)&gt;0,"OK","불일치"))</f>
        <v/>
      </c>
    </row>
    <row r="474" spans="1:9" ht="17" customHeight="1" x14ac:dyDescent="0.35">
      <c r="A474" s="39"/>
      <c r="B474" s="40"/>
      <c r="C474" s="40"/>
      <c r="D474" s="41" t="s">
        <v>77</v>
      </c>
      <c r="E474" s="40"/>
      <c r="F474" s="40"/>
      <c r="G474" s="42" t="str">
        <f t="shared" si="7"/>
        <v/>
      </c>
      <c r="H474" s="40"/>
      <c r="I474" s="43" t="str">
        <f>IF(OR(B474="",C474=""),"",IF(COUNTIFS(재료목록!$A$2:$A$51,B474,재료목록!$B$2:$B$51,C474)&gt;0,"OK","불일치"))</f>
        <v/>
      </c>
    </row>
    <row r="475" spans="1:9" ht="17" customHeight="1" x14ac:dyDescent="0.35">
      <c r="A475" s="39"/>
      <c r="B475" s="40"/>
      <c r="C475" s="40"/>
      <c r="D475" s="41" t="s">
        <v>77</v>
      </c>
      <c r="E475" s="40"/>
      <c r="F475" s="40"/>
      <c r="G475" s="42" t="str">
        <f t="shared" si="7"/>
        <v/>
      </c>
      <c r="H475" s="40"/>
      <c r="I475" s="43" t="str">
        <f>IF(OR(B475="",C475=""),"",IF(COUNTIFS(재료목록!$A$2:$A$51,B475,재료목록!$B$2:$B$51,C475)&gt;0,"OK","불일치"))</f>
        <v/>
      </c>
    </row>
    <row r="476" spans="1:9" ht="17" customHeight="1" x14ac:dyDescent="0.35">
      <c r="A476" s="39"/>
      <c r="B476" s="40"/>
      <c r="C476" s="40"/>
      <c r="D476" s="41" t="s">
        <v>77</v>
      </c>
      <c r="E476" s="40"/>
      <c r="F476" s="40"/>
      <c r="G476" s="42" t="str">
        <f t="shared" si="7"/>
        <v/>
      </c>
      <c r="H476" s="40"/>
      <c r="I476" s="43" t="str">
        <f>IF(OR(B476="",C476=""),"",IF(COUNTIFS(재료목록!$A$2:$A$51,B476,재료목록!$B$2:$B$51,C476)&gt;0,"OK","불일치"))</f>
        <v/>
      </c>
    </row>
    <row r="477" spans="1:9" ht="17" customHeight="1" x14ac:dyDescent="0.35">
      <c r="A477" s="39"/>
      <c r="B477" s="40"/>
      <c r="C477" s="40"/>
      <c r="D477" s="41" t="s">
        <v>77</v>
      </c>
      <c r="E477" s="40"/>
      <c r="F477" s="40"/>
      <c r="G477" s="42" t="str">
        <f t="shared" si="7"/>
        <v/>
      </c>
      <c r="H477" s="40"/>
      <c r="I477" s="43" t="str">
        <f>IF(OR(B477="",C477=""),"",IF(COUNTIFS(재료목록!$A$2:$A$51,B477,재료목록!$B$2:$B$51,C477)&gt;0,"OK","불일치"))</f>
        <v/>
      </c>
    </row>
    <row r="478" spans="1:9" ht="17" customHeight="1" x14ac:dyDescent="0.35">
      <c r="A478" s="39"/>
      <c r="B478" s="40"/>
      <c r="C478" s="40"/>
      <c r="D478" s="41" t="s">
        <v>77</v>
      </c>
      <c r="E478" s="40"/>
      <c r="F478" s="40"/>
      <c r="G478" s="42" t="str">
        <f t="shared" si="7"/>
        <v/>
      </c>
      <c r="H478" s="40"/>
      <c r="I478" s="43" t="str">
        <f>IF(OR(B478="",C478=""),"",IF(COUNTIFS(재료목록!$A$2:$A$51,B478,재료목록!$B$2:$B$51,C478)&gt;0,"OK","불일치"))</f>
        <v/>
      </c>
    </row>
    <row r="479" spans="1:9" ht="17" customHeight="1" x14ac:dyDescent="0.35">
      <c r="A479" s="39"/>
      <c r="B479" s="40"/>
      <c r="C479" s="40"/>
      <c r="D479" s="41" t="s">
        <v>77</v>
      </c>
      <c r="E479" s="40"/>
      <c r="F479" s="40"/>
      <c r="G479" s="42" t="str">
        <f t="shared" si="7"/>
        <v/>
      </c>
      <c r="H479" s="40"/>
      <c r="I479" s="43" t="str">
        <f>IF(OR(B479="",C479=""),"",IF(COUNTIFS(재료목록!$A$2:$A$51,B479,재료목록!$B$2:$B$51,C479)&gt;0,"OK","불일치"))</f>
        <v/>
      </c>
    </row>
    <row r="480" spans="1:9" ht="17" customHeight="1" x14ac:dyDescent="0.35">
      <c r="A480" s="39"/>
      <c r="B480" s="40"/>
      <c r="C480" s="40"/>
      <c r="D480" s="41" t="s">
        <v>77</v>
      </c>
      <c r="E480" s="40"/>
      <c r="F480" s="40"/>
      <c r="G480" s="42" t="str">
        <f t="shared" si="7"/>
        <v/>
      </c>
      <c r="H480" s="40"/>
      <c r="I480" s="43" t="str">
        <f>IF(OR(B480="",C480=""),"",IF(COUNTIFS(재료목록!$A$2:$A$51,B480,재료목록!$B$2:$B$51,C480)&gt;0,"OK","불일치"))</f>
        <v/>
      </c>
    </row>
    <row r="481" spans="1:9" ht="17" customHeight="1" x14ac:dyDescent="0.35">
      <c r="A481" s="39"/>
      <c r="B481" s="40"/>
      <c r="C481" s="40"/>
      <c r="D481" s="41" t="s">
        <v>77</v>
      </c>
      <c r="E481" s="40"/>
      <c r="F481" s="40"/>
      <c r="G481" s="42" t="str">
        <f t="shared" si="7"/>
        <v/>
      </c>
      <c r="H481" s="40"/>
      <c r="I481" s="43" t="str">
        <f>IF(OR(B481="",C481=""),"",IF(COUNTIFS(재료목록!$A$2:$A$51,B481,재료목록!$B$2:$B$51,C481)&gt;0,"OK","불일치"))</f>
        <v/>
      </c>
    </row>
    <row r="482" spans="1:9" ht="17" customHeight="1" x14ac:dyDescent="0.35">
      <c r="A482" s="39"/>
      <c r="B482" s="40"/>
      <c r="C482" s="40"/>
      <c r="D482" s="41" t="s">
        <v>77</v>
      </c>
      <c r="E482" s="40"/>
      <c r="F482" s="40"/>
      <c r="G482" s="42" t="str">
        <f t="shared" si="7"/>
        <v/>
      </c>
      <c r="H482" s="40"/>
      <c r="I482" s="43" t="str">
        <f>IF(OR(B482="",C482=""),"",IF(COUNTIFS(재료목록!$A$2:$A$51,B482,재료목록!$B$2:$B$51,C482)&gt;0,"OK","불일치"))</f>
        <v/>
      </c>
    </row>
    <row r="483" spans="1:9" ht="17" customHeight="1" x14ac:dyDescent="0.35">
      <c r="A483" s="39"/>
      <c r="B483" s="40"/>
      <c r="C483" s="40"/>
      <c r="D483" s="41" t="s">
        <v>77</v>
      </c>
      <c r="E483" s="40"/>
      <c r="F483" s="40"/>
      <c r="G483" s="42" t="str">
        <f t="shared" si="7"/>
        <v/>
      </c>
      <c r="H483" s="40"/>
      <c r="I483" s="43" t="str">
        <f>IF(OR(B483="",C483=""),"",IF(COUNTIFS(재료목록!$A$2:$A$51,B483,재료목록!$B$2:$B$51,C483)&gt;0,"OK","불일치"))</f>
        <v/>
      </c>
    </row>
    <row r="484" spans="1:9" ht="17" customHeight="1" x14ac:dyDescent="0.35">
      <c r="A484" s="39"/>
      <c r="B484" s="40"/>
      <c r="C484" s="40"/>
      <c r="D484" s="41" t="s">
        <v>77</v>
      </c>
      <c r="E484" s="40"/>
      <c r="F484" s="40"/>
      <c r="G484" s="42" t="str">
        <f t="shared" si="7"/>
        <v/>
      </c>
      <c r="H484" s="40"/>
      <c r="I484" s="43" t="str">
        <f>IF(OR(B484="",C484=""),"",IF(COUNTIFS(재료목록!$A$2:$A$51,B484,재료목록!$B$2:$B$51,C484)&gt;0,"OK","불일치"))</f>
        <v/>
      </c>
    </row>
    <row r="485" spans="1:9" ht="17" customHeight="1" x14ac:dyDescent="0.35">
      <c r="A485" s="39"/>
      <c r="B485" s="40"/>
      <c r="C485" s="40"/>
      <c r="D485" s="41" t="s">
        <v>77</v>
      </c>
      <c r="E485" s="40"/>
      <c r="F485" s="40"/>
      <c r="G485" s="42" t="str">
        <f t="shared" si="7"/>
        <v/>
      </c>
      <c r="H485" s="40"/>
      <c r="I485" s="43" t="str">
        <f>IF(OR(B485="",C485=""),"",IF(COUNTIFS(재료목록!$A$2:$A$51,B485,재료목록!$B$2:$B$51,C485)&gt;0,"OK","불일치"))</f>
        <v/>
      </c>
    </row>
    <row r="486" spans="1:9" ht="17" customHeight="1" x14ac:dyDescent="0.35">
      <c r="A486" s="39"/>
      <c r="B486" s="40"/>
      <c r="C486" s="40"/>
      <c r="D486" s="41" t="s">
        <v>77</v>
      </c>
      <c r="E486" s="40"/>
      <c r="F486" s="40"/>
      <c r="G486" s="42" t="str">
        <f t="shared" si="7"/>
        <v/>
      </c>
      <c r="H486" s="40"/>
      <c r="I486" s="43" t="str">
        <f>IF(OR(B486="",C486=""),"",IF(COUNTIFS(재료목록!$A$2:$A$51,B486,재료목록!$B$2:$B$51,C486)&gt;0,"OK","불일치"))</f>
        <v/>
      </c>
    </row>
    <row r="487" spans="1:9" ht="17" customHeight="1" x14ac:dyDescent="0.35">
      <c r="A487" s="39"/>
      <c r="B487" s="40"/>
      <c r="C487" s="40"/>
      <c r="D487" s="41" t="s">
        <v>77</v>
      </c>
      <c r="E487" s="40"/>
      <c r="F487" s="40"/>
      <c r="G487" s="42" t="str">
        <f t="shared" si="7"/>
        <v/>
      </c>
      <c r="H487" s="40"/>
      <c r="I487" s="43" t="str">
        <f>IF(OR(B487="",C487=""),"",IF(COUNTIFS(재료목록!$A$2:$A$51,B487,재료목록!$B$2:$B$51,C487)&gt;0,"OK","불일치"))</f>
        <v/>
      </c>
    </row>
    <row r="488" spans="1:9" ht="17" customHeight="1" x14ac:dyDescent="0.35">
      <c r="A488" s="39"/>
      <c r="B488" s="40"/>
      <c r="C488" s="40"/>
      <c r="D488" s="41" t="s">
        <v>77</v>
      </c>
      <c r="E488" s="40"/>
      <c r="F488" s="40"/>
      <c r="G488" s="42" t="str">
        <f t="shared" si="7"/>
        <v/>
      </c>
      <c r="H488" s="40"/>
      <c r="I488" s="43" t="str">
        <f>IF(OR(B488="",C488=""),"",IF(COUNTIFS(재료목록!$A$2:$A$51,B488,재료목록!$B$2:$B$51,C488)&gt;0,"OK","불일치"))</f>
        <v/>
      </c>
    </row>
    <row r="489" spans="1:9" ht="17" customHeight="1" x14ac:dyDescent="0.35">
      <c r="A489" s="39"/>
      <c r="B489" s="40"/>
      <c r="C489" s="40"/>
      <c r="D489" s="41" t="s">
        <v>77</v>
      </c>
      <c r="E489" s="40"/>
      <c r="F489" s="40"/>
      <c r="G489" s="42" t="str">
        <f t="shared" si="7"/>
        <v/>
      </c>
      <c r="H489" s="40"/>
      <c r="I489" s="43" t="str">
        <f>IF(OR(B489="",C489=""),"",IF(COUNTIFS(재료목록!$A$2:$A$51,B489,재료목록!$B$2:$B$51,C489)&gt;0,"OK","불일치"))</f>
        <v/>
      </c>
    </row>
    <row r="490" spans="1:9" ht="17" customHeight="1" x14ac:dyDescent="0.35">
      <c r="A490" s="39"/>
      <c r="B490" s="40"/>
      <c r="C490" s="40"/>
      <c r="D490" s="41" t="s">
        <v>77</v>
      </c>
      <c r="E490" s="40"/>
      <c r="F490" s="40"/>
      <c r="G490" s="42" t="str">
        <f t="shared" si="7"/>
        <v/>
      </c>
      <c r="H490" s="40"/>
      <c r="I490" s="43" t="str">
        <f>IF(OR(B490="",C490=""),"",IF(COUNTIFS(재료목록!$A$2:$A$51,B490,재료목록!$B$2:$B$51,C490)&gt;0,"OK","불일치"))</f>
        <v/>
      </c>
    </row>
    <row r="491" spans="1:9" ht="17" customHeight="1" x14ac:dyDescent="0.35">
      <c r="A491" s="39"/>
      <c r="B491" s="40"/>
      <c r="C491" s="40"/>
      <c r="D491" s="41" t="s">
        <v>77</v>
      </c>
      <c r="E491" s="40"/>
      <c r="F491" s="40"/>
      <c r="G491" s="42" t="str">
        <f t="shared" si="7"/>
        <v/>
      </c>
      <c r="H491" s="40"/>
      <c r="I491" s="43" t="str">
        <f>IF(OR(B491="",C491=""),"",IF(COUNTIFS(재료목록!$A$2:$A$51,B491,재료목록!$B$2:$B$51,C491)&gt;0,"OK","불일치"))</f>
        <v/>
      </c>
    </row>
    <row r="492" spans="1:9" ht="17" customHeight="1" x14ac:dyDescent="0.35">
      <c r="A492" s="39"/>
      <c r="B492" s="40"/>
      <c r="C492" s="40"/>
      <c r="D492" s="41" t="s">
        <v>77</v>
      </c>
      <c r="E492" s="40"/>
      <c r="F492" s="40"/>
      <c r="G492" s="42" t="str">
        <f t="shared" si="7"/>
        <v/>
      </c>
      <c r="H492" s="40"/>
      <c r="I492" s="43" t="str">
        <f>IF(OR(B492="",C492=""),"",IF(COUNTIFS(재료목록!$A$2:$A$51,B492,재료목록!$B$2:$B$51,C492)&gt;0,"OK","불일치"))</f>
        <v/>
      </c>
    </row>
    <row r="493" spans="1:9" ht="17" customHeight="1" x14ac:dyDescent="0.35">
      <c r="A493" s="39"/>
      <c r="B493" s="40"/>
      <c r="C493" s="40"/>
      <c r="D493" s="41" t="s">
        <v>77</v>
      </c>
      <c r="E493" s="40"/>
      <c r="F493" s="40"/>
      <c r="G493" s="42" t="str">
        <f t="shared" si="7"/>
        <v/>
      </c>
      <c r="H493" s="40"/>
      <c r="I493" s="43" t="str">
        <f>IF(OR(B493="",C493=""),"",IF(COUNTIFS(재료목록!$A$2:$A$51,B493,재료목록!$B$2:$B$51,C493)&gt;0,"OK","불일치"))</f>
        <v/>
      </c>
    </row>
    <row r="494" spans="1:9" ht="17" customHeight="1" x14ac:dyDescent="0.35">
      <c r="A494" s="39"/>
      <c r="B494" s="40"/>
      <c r="C494" s="40"/>
      <c r="D494" s="41" t="s">
        <v>77</v>
      </c>
      <c r="E494" s="40"/>
      <c r="F494" s="40"/>
      <c r="G494" s="42" t="str">
        <f t="shared" si="7"/>
        <v/>
      </c>
      <c r="H494" s="40"/>
      <c r="I494" s="43" t="str">
        <f>IF(OR(B494="",C494=""),"",IF(COUNTIFS(재료목록!$A$2:$A$51,B494,재료목록!$B$2:$B$51,C494)&gt;0,"OK","불일치"))</f>
        <v/>
      </c>
    </row>
    <row r="495" spans="1:9" ht="17" customHeight="1" x14ac:dyDescent="0.35">
      <c r="A495" s="39"/>
      <c r="B495" s="40"/>
      <c r="C495" s="40"/>
      <c r="D495" s="41" t="s">
        <v>77</v>
      </c>
      <c r="E495" s="40"/>
      <c r="F495" s="40"/>
      <c r="G495" s="42" t="str">
        <f t="shared" si="7"/>
        <v/>
      </c>
      <c r="H495" s="40"/>
      <c r="I495" s="43" t="str">
        <f>IF(OR(B495="",C495=""),"",IF(COUNTIFS(재료목록!$A$2:$A$51,B495,재료목록!$B$2:$B$51,C495)&gt;0,"OK","불일치"))</f>
        <v/>
      </c>
    </row>
    <row r="496" spans="1:9" ht="17" customHeight="1" x14ac:dyDescent="0.35">
      <c r="A496" s="39"/>
      <c r="B496" s="40"/>
      <c r="C496" s="40"/>
      <c r="D496" s="41" t="s">
        <v>77</v>
      </c>
      <c r="E496" s="40"/>
      <c r="F496" s="40"/>
      <c r="G496" s="42" t="str">
        <f t="shared" si="7"/>
        <v/>
      </c>
      <c r="H496" s="40"/>
      <c r="I496" s="43" t="str">
        <f>IF(OR(B496="",C496=""),"",IF(COUNTIFS(재료목록!$A$2:$A$51,B496,재료목록!$B$2:$B$51,C496)&gt;0,"OK","불일치"))</f>
        <v/>
      </c>
    </row>
    <row r="497" spans="1:9" ht="17" customHeight="1" x14ac:dyDescent="0.35">
      <c r="A497" s="39"/>
      <c r="B497" s="40"/>
      <c r="C497" s="40"/>
      <c r="D497" s="41" t="s">
        <v>77</v>
      </c>
      <c r="E497" s="40"/>
      <c r="F497" s="40"/>
      <c r="G497" s="42" t="str">
        <f t="shared" si="7"/>
        <v/>
      </c>
      <c r="H497" s="40"/>
      <c r="I497" s="43" t="str">
        <f>IF(OR(B497="",C497=""),"",IF(COUNTIFS(재료목록!$A$2:$A$51,B497,재료목록!$B$2:$B$51,C497)&gt;0,"OK","불일치"))</f>
        <v/>
      </c>
    </row>
    <row r="498" spans="1:9" ht="17" customHeight="1" x14ac:dyDescent="0.35">
      <c r="A498" s="39"/>
      <c r="B498" s="40"/>
      <c r="C498" s="40"/>
      <c r="D498" s="41" t="s">
        <v>77</v>
      </c>
      <c r="E498" s="40"/>
      <c r="F498" s="40"/>
      <c r="G498" s="42" t="str">
        <f t="shared" si="7"/>
        <v/>
      </c>
      <c r="H498" s="40"/>
      <c r="I498" s="43" t="str">
        <f>IF(OR(B498="",C498=""),"",IF(COUNTIFS(재료목록!$A$2:$A$51,B498,재료목록!$B$2:$B$51,C498)&gt;0,"OK","불일치"))</f>
        <v/>
      </c>
    </row>
    <row r="499" spans="1:9" ht="17" customHeight="1" x14ac:dyDescent="0.35">
      <c r="A499" s="39"/>
      <c r="B499" s="40"/>
      <c r="C499" s="40"/>
      <c r="D499" s="41" t="s">
        <v>77</v>
      </c>
      <c r="E499" s="40"/>
      <c r="F499" s="40"/>
      <c r="G499" s="42" t="str">
        <f t="shared" si="7"/>
        <v/>
      </c>
      <c r="H499" s="40"/>
      <c r="I499" s="43" t="str">
        <f>IF(OR(B499="",C499=""),"",IF(COUNTIFS(재료목록!$A$2:$A$51,B499,재료목록!$B$2:$B$51,C499)&gt;0,"OK","불일치"))</f>
        <v/>
      </c>
    </row>
    <row r="500" spans="1:9" ht="17" customHeight="1" x14ac:dyDescent="0.35">
      <c r="A500" s="39"/>
      <c r="B500" s="40"/>
      <c r="C500" s="40"/>
      <c r="D500" s="41" t="s">
        <v>77</v>
      </c>
      <c r="E500" s="40"/>
      <c r="F500" s="40"/>
      <c r="G500" s="42" t="str">
        <f t="shared" si="7"/>
        <v/>
      </c>
      <c r="H500" s="40"/>
      <c r="I500" s="43" t="str">
        <f>IF(OR(B500="",C500=""),"",IF(COUNTIFS(재료목록!$A$2:$A$51,B500,재료목록!$B$2:$B$51,C500)&gt;0,"OK","불일치"))</f>
        <v/>
      </c>
    </row>
    <row r="501" spans="1:9" ht="17" customHeight="1" x14ac:dyDescent="0.35">
      <c r="A501" s="39"/>
      <c r="B501" s="40"/>
      <c r="C501" s="40"/>
      <c r="D501" s="41" t="s">
        <v>77</v>
      </c>
      <c r="E501" s="40"/>
      <c r="F501" s="40"/>
      <c r="G501" s="42" t="str">
        <f t="shared" si="7"/>
        <v/>
      </c>
      <c r="H501" s="40"/>
      <c r="I501" s="43" t="str">
        <f>IF(OR(B501="",C501=""),"",IF(COUNTIFS(재료목록!$A$2:$A$51,B501,재료목록!$B$2:$B$51,C501)&gt;0,"OK","불일치"))</f>
        <v/>
      </c>
    </row>
    <row r="502" spans="1:9" ht="17" customHeight="1" x14ac:dyDescent="0.35">
      <c r="A502" s="39"/>
      <c r="B502" s="40"/>
      <c r="C502" s="40"/>
      <c r="D502" s="41" t="s">
        <v>77</v>
      </c>
      <c r="E502" s="40"/>
      <c r="F502" s="40"/>
      <c r="G502" s="42" t="str">
        <f t="shared" si="7"/>
        <v/>
      </c>
      <c r="H502" s="40"/>
      <c r="I502" s="43" t="str">
        <f>IF(OR(B502="",C502=""),"",IF(COUNTIFS(재료목록!$A$2:$A$51,B502,재료목록!$B$2:$B$51,C502)&gt;0,"OK","불일치"))</f>
        <v/>
      </c>
    </row>
    <row r="503" spans="1:9" ht="17" customHeight="1" x14ac:dyDescent="0.35">
      <c r="A503" s="39"/>
      <c r="B503" s="40"/>
      <c r="C503" s="40"/>
      <c r="D503" s="41" t="s">
        <v>77</v>
      </c>
      <c r="E503" s="40"/>
      <c r="F503" s="40"/>
      <c r="G503" s="42" t="str">
        <f t="shared" si="7"/>
        <v/>
      </c>
      <c r="H503" s="40"/>
      <c r="I503" s="43" t="str">
        <f>IF(OR(B503="",C503=""),"",IF(COUNTIFS(재료목록!$A$2:$A$51,B503,재료목록!$B$2:$B$51,C503)&gt;0,"OK","불일치"))</f>
        <v/>
      </c>
    </row>
    <row r="504" spans="1:9" ht="17" customHeight="1" x14ac:dyDescent="0.35">
      <c r="A504" s="39"/>
      <c r="B504" s="40"/>
      <c r="C504" s="40"/>
      <c r="D504" s="41" t="s">
        <v>77</v>
      </c>
      <c r="E504" s="40"/>
      <c r="F504" s="40"/>
      <c r="G504" s="42" t="str">
        <f t="shared" si="7"/>
        <v/>
      </c>
      <c r="H504" s="40"/>
      <c r="I504" s="43" t="str">
        <f>IF(OR(B504="",C504=""),"",IF(COUNTIFS(재료목록!$A$2:$A$51,B504,재료목록!$B$2:$B$51,C504)&gt;0,"OK","불일치"))</f>
        <v/>
      </c>
    </row>
    <row r="505" spans="1:9" ht="17" customHeight="1" x14ac:dyDescent="0.35">
      <c r="A505" s="39"/>
      <c r="B505" s="40"/>
      <c r="C505" s="40"/>
      <c r="D505" s="41" t="s">
        <v>77</v>
      </c>
      <c r="E505" s="40"/>
      <c r="F505" s="40"/>
      <c r="G505" s="42" t="str">
        <f t="shared" si="7"/>
        <v/>
      </c>
      <c r="H505" s="40"/>
      <c r="I505" s="43" t="str">
        <f>IF(OR(B505="",C505=""),"",IF(COUNTIFS(재료목록!$A$2:$A$51,B505,재료목록!$B$2:$B$51,C505)&gt;0,"OK","불일치"))</f>
        <v/>
      </c>
    </row>
    <row r="506" spans="1:9" ht="17" customHeight="1" x14ac:dyDescent="0.35">
      <c r="A506" s="39"/>
      <c r="B506" s="40"/>
      <c r="C506" s="40"/>
      <c r="D506" s="41" t="s">
        <v>77</v>
      </c>
      <c r="E506" s="40"/>
      <c r="F506" s="40"/>
      <c r="G506" s="42" t="str">
        <f t="shared" si="7"/>
        <v/>
      </c>
      <c r="H506" s="40"/>
      <c r="I506" s="43" t="str">
        <f>IF(OR(B506="",C506=""),"",IF(COUNTIFS(재료목록!$A$2:$A$51,B506,재료목록!$B$2:$B$51,C506)&gt;0,"OK","불일치"))</f>
        <v/>
      </c>
    </row>
    <row r="507" spans="1:9" ht="17" customHeight="1" x14ac:dyDescent="0.35">
      <c r="A507" s="39"/>
      <c r="B507" s="40"/>
      <c r="C507" s="40"/>
      <c r="D507" s="41" t="s">
        <v>77</v>
      </c>
      <c r="E507" s="40"/>
      <c r="F507" s="40"/>
      <c r="G507" s="42" t="str">
        <f t="shared" si="7"/>
        <v/>
      </c>
      <c r="H507" s="40"/>
      <c r="I507" s="43" t="str">
        <f>IF(OR(B507="",C507=""),"",IF(COUNTIFS(재료목록!$A$2:$A$51,B507,재료목록!$B$2:$B$51,C507)&gt;0,"OK","불일치"))</f>
        <v/>
      </c>
    </row>
    <row r="508" spans="1:9" ht="17" customHeight="1" x14ac:dyDescent="0.35">
      <c r="A508" s="39"/>
      <c r="B508" s="40"/>
      <c r="C508" s="40"/>
      <c r="D508" s="41" t="s">
        <v>77</v>
      </c>
      <c r="E508" s="40"/>
      <c r="F508" s="40"/>
      <c r="G508" s="42" t="str">
        <f t="shared" si="7"/>
        <v/>
      </c>
      <c r="H508" s="40"/>
      <c r="I508" s="43" t="str">
        <f>IF(OR(B508="",C508=""),"",IF(COUNTIFS(재료목록!$A$2:$A$51,B508,재료목록!$B$2:$B$51,C508)&gt;0,"OK","불일치"))</f>
        <v/>
      </c>
    </row>
    <row r="509" spans="1:9" ht="17" customHeight="1" x14ac:dyDescent="0.35">
      <c r="A509" s="39"/>
      <c r="B509" s="40"/>
      <c r="C509" s="40"/>
      <c r="D509" s="41" t="s">
        <v>77</v>
      </c>
      <c r="E509" s="40"/>
      <c r="F509" s="40"/>
      <c r="G509" s="42" t="str">
        <f t="shared" si="7"/>
        <v/>
      </c>
      <c r="H509" s="40"/>
      <c r="I509" s="43" t="str">
        <f>IF(OR(B509="",C509=""),"",IF(COUNTIFS(재료목록!$A$2:$A$51,B509,재료목록!$B$2:$B$51,C509)&gt;0,"OK","불일치"))</f>
        <v/>
      </c>
    </row>
    <row r="510" spans="1:9" ht="17" customHeight="1" x14ac:dyDescent="0.35">
      <c r="A510" s="39"/>
      <c r="B510" s="40"/>
      <c r="C510" s="40"/>
      <c r="D510" s="41" t="s">
        <v>77</v>
      </c>
      <c r="E510" s="40"/>
      <c r="F510" s="40"/>
      <c r="G510" s="42" t="str">
        <f t="shared" si="7"/>
        <v/>
      </c>
      <c r="H510" s="40"/>
      <c r="I510" s="43" t="str">
        <f>IF(OR(B510="",C510=""),"",IF(COUNTIFS(재료목록!$A$2:$A$51,B510,재료목록!$B$2:$B$51,C510)&gt;0,"OK","불일치"))</f>
        <v/>
      </c>
    </row>
    <row r="511" spans="1:9" ht="17" customHeight="1" x14ac:dyDescent="0.35">
      <c r="A511" s="39"/>
      <c r="B511" s="40"/>
      <c r="C511" s="40"/>
      <c r="D511" s="41" t="s">
        <v>77</v>
      </c>
      <c r="E511" s="40"/>
      <c r="F511" s="40"/>
      <c r="G511" s="42" t="str">
        <f t="shared" si="7"/>
        <v/>
      </c>
      <c r="H511" s="40"/>
      <c r="I511" s="43" t="str">
        <f>IF(OR(B511="",C511=""),"",IF(COUNTIFS(재료목록!$A$2:$A$51,B511,재료목록!$B$2:$B$51,C511)&gt;0,"OK","불일치"))</f>
        <v/>
      </c>
    </row>
    <row r="512" spans="1:9" ht="17" customHeight="1" x14ac:dyDescent="0.35">
      <c r="A512" s="39"/>
      <c r="B512" s="40"/>
      <c r="C512" s="40"/>
      <c r="D512" s="41" t="s">
        <v>77</v>
      </c>
      <c r="E512" s="40"/>
      <c r="F512" s="40"/>
      <c r="G512" s="42" t="str">
        <f t="shared" si="7"/>
        <v/>
      </c>
      <c r="H512" s="40"/>
      <c r="I512" s="43" t="str">
        <f>IF(OR(B512="",C512=""),"",IF(COUNTIFS(재료목록!$A$2:$A$51,B512,재료목록!$B$2:$B$51,C512)&gt;0,"OK","불일치"))</f>
        <v/>
      </c>
    </row>
    <row r="513" spans="1:9" ht="17" customHeight="1" x14ac:dyDescent="0.35">
      <c r="A513" s="39"/>
      <c r="B513" s="40"/>
      <c r="C513" s="40"/>
      <c r="D513" s="41" t="s">
        <v>77</v>
      </c>
      <c r="E513" s="40"/>
      <c r="F513" s="40"/>
      <c r="G513" s="42" t="str">
        <f t="shared" si="7"/>
        <v/>
      </c>
      <c r="H513" s="40"/>
      <c r="I513" s="43" t="str">
        <f>IF(OR(B513="",C513=""),"",IF(COUNTIFS(재료목록!$A$2:$A$51,B513,재료목록!$B$2:$B$51,C513)&gt;0,"OK","불일치"))</f>
        <v/>
      </c>
    </row>
    <row r="514" spans="1:9" ht="17" customHeight="1" x14ac:dyDescent="0.35">
      <c r="A514" s="39"/>
      <c r="B514" s="40"/>
      <c r="C514" s="40"/>
      <c r="D514" s="41" t="s">
        <v>77</v>
      </c>
      <c r="E514" s="40"/>
      <c r="F514" s="40"/>
      <c r="G514" s="42" t="str">
        <f t="shared" ref="G514:G577" si="8">IF(OR(E514="",F514=""),"",E514*F514)</f>
        <v/>
      </c>
      <c r="H514" s="40"/>
      <c r="I514" s="43" t="str">
        <f>IF(OR(B514="",C514=""),"",IF(COUNTIFS(재료목록!$A$2:$A$51,B514,재료목록!$B$2:$B$51,C514)&gt;0,"OK","불일치"))</f>
        <v/>
      </c>
    </row>
    <row r="515" spans="1:9" ht="17" customHeight="1" x14ac:dyDescent="0.35">
      <c r="A515" s="39"/>
      <c r="B515" s="40"/>
      <c r="C515" s="40"/>
      <c r="D515" s="41" t="s">
        <v>77</v>
      </c>
      <c r="E515" s="40"/>
      <c r="F515" s="40"/>
      <c r="G515" s="42" t="str">
        <f t="shared" si="8"/>
        <v/>
      </c>
      <c r="H515" s="40"/>
      <c r="I515" s="43" t="str">
        <f>IF(OR(B515="",C515=""),"",IF(COUNTIFS(재료목록!$A$2:$A$51,B515,재료목록!$B$2:$B$51,C515)&gt;0,"OK","불일치"))</f>
        <v/>
      </c>
    </row>
    <row r="516" spans="1:9" ht="17" customHeight="1" x14ac:dyDescent="0.35">
      <c r="A516" s="39"/>
      <c r="B516" s="40"/>
      <c r="C516" s="40"/>
      <c r="D516" s="41" t="s">
        <v>77</v>
      </c>
      <c r="E516" s="40"/>
      <c r="F516" s="40"/>
      <c r="G516" s="42" t="str">
        <f t="shared" si="8"/>
        <v/>
      </c>
      <c r="H516" s="40"/>
      <c r="I516" s="43" t="str">
        <f>IF(OR(B516="",C516=""),"",IF(COUNTIFS(재료목록!$A$2:$A$51,B516,재료목록!$B$2:$B$51,C516)&gt;0,"OK","불일치"))</f>
        <v/>
      </c>
    </row>
    <row r="517" spans="1:9" ht="17" customHeight="1" x14ac:dyDescent="0.35">
      <c r="A517" s="39"/>
      <c r="B517" s="40"/>
      <c r="C517" s="40"/>
      <c r="D517" s="41" t="s">
        <v>77</v>
      </c>
      <c r="E517" s="40"/>
      <c r="F517" s="40"/>
      <c r="G517" s="42" t="str">
        <f t="shared" si="8"/>
        <v/>
      </c>
      <c r="H517" s="40"/>
      <c r="I517" s="43" t="str">
        <f>IF(OR(B517="",C517=""),"",IF(COUNTIFS(재료목록!$A$2:$A$51,B517,재료목록!$B$2:$B$51,C517)&gt;0,"OK","불일치"))</f>
        <v/>
      </c>
    </row>
    <row r="518" spans="1:9" ht="17" customHeight="1" x14ac:dyDescent="0.35">
      <c r="A518" s="39"/>
      <c r="B518" s="40"/>
      <c r="C518" s="40"/>
      <c r="D518" s="41" t="s">
        <v>77</v>
      </c>
      <c r="E518" s="40"/>
      <c r="F518" s="40"/>
      <c r="G518" s="42" t="str">
        <f t="shared" si="8"/>
        <v/>
      </c>
      <c r="H518" s="40"/>
      <c r="I518" s="43" t="str">
        <f>IF(OR(B518="",C518=""),"",IF(COUNTIFS(재료목록!$A$2:$A$51,B518,재료목록!$B$2:$B$51,C518)&gt;0,"OK","불일치"))</f>
        <v/>
      </c>
    </row>
    <row r="519" spans="1:9" ht="17" customHeight="1" x14ac:dyDescent="0.35">
      <c r="A519" s="39"/>
      <c r="B519" s="40"/>
      <c r="C519" s="40"/>
      <c r="D519" s="41" t="s">
        <v>77</v>
      </c>
      <c r="E519" s="40"/>
      <c r="F519" s="40"/>
      <c r="G519" s="42" t="str">
        <f t="shared" si="8"/>
        <v/>
      </c>
      <c r="H519" s="40"/>
      <c r="I519" s="43" t="str">
        <f>IF(OR(B519="",C519=""),"",IF(COUNTIFS(재료목록!$A$2:$A$51,B519,재료목록!$B$2:$B$51,C519)&gt;0,"OK","불일치"))</f>
        <v/>
      </c>
    </row>
    <row r="520" spans="1:9" ht="17" customHeight="1" x14ac:dyDescent="0.35">
      <c r="A520" s="39"/>
      <c r="B520" s="40"/>
      <c r="C520" s="40"/>
      <c r="D520" s="41" t="s">
        <v>77</v>
      </c>
      <c r="E520" s="40"/>
      <c r="F520" s="40"/>
      <c r="G520" s="42" t="str">
        <f t="shared" si="8"/>
        <v/>
      </c>
      <c r="H520" s="40"/>
      <c r="I520" s="43" t="str">
        <f>IF(OR(B520="",C520=""),"",IF(COUNTIFS(재료목록!$A$2:$A$51,B520,재료목록!$B$2:$B$51,C520)&gt;0,"OK","불일치"))</f>
        <v/>
      </c>
    </row>
    <row r="521" spans="1:9" ht="17" customHeight="1" x14ac:dyDescent="0.35">
      <c r="A521" s="39"/>
      <c r="B521" s="40"/>
      <c r="C521" s="40"/>
      <c r="D521" s="41" t="s">
        <v>77</v>
      </c>
      <c r="E521" s="40"/>
      <c r="F521" s="40"/>
      <c r="G521" s="42" t="str">
        <f t="shared" si="8"/>
        <v/>
      </c>
      <c r="H521" s="40"/>
      <c r="I521" s="43" t="str">
        <f>IF(OR(B521="",C521=""),"",IF(COUNTIFS(재료목록!$A$2:$A$51,B521,재료목록!$B$2:$B$51,C521)&gt;0,"OK","불일치"))</f>
        <v/>
      </c>
    </row>
    <row r="522" spans="1:9" ht="17" customHeight="1" x14ac:dyDescent="0.35">
      <c r="A522" s="39"/>
      <c r="B522" s="40"/>
      <c r="C522" s="40"/>
      <c r="D522" s="41" t="s">
        <v>77</v>
      </c>
      <c r="E522" s="40"/>
      <c r="F522" s="40"/>
      <c r="G522" s="42" t="str">
        <f t="shared" si="8"/>
        <v/>
      </c>
      <c r="H522" s="40"/>
      <c r="I522" s="43" t="str">
        <f>IF(OR(B522="",C522=""),"",IF(COUNTIFS(재료목록!$A$2:$A$51,B522,재료목록!$B$2:$B$51,C522)&gt;0,"OK","불일치"))</f>
        <v/>
      </c>
    </row>
    <row r="523" spans="1:9" ht="17" customHeight="1" x14ac:dyDescent="0.35">
      <c r="A523" s="39"/>
      <c r="B523" s="40"/>
      <c r="C523" s="40"/>
      <c r="D523" s="41" t="s">
        <v>77</v>
      </c>
      <c r="E523" s="40"/>
      <c r="F523" s="40"/>
      <c r="G523" s="42" t="str">
        <f t="shared" si="8"/>
        <v/>
      </c>
      <c r="H523" s="40"/>
      <c r="I523" s="43" t="str">
        <f>IF(OR(B523="",C523=""),"",IF(COUNTIFS(재료목록!$A$2:$A$51,B523,재료목록!$B$2:$B$51,C523)&gt;0,"OK","불일치"))</f>
        <v/>
      </c>
    </row>
    <row r="524" spans="1:9" ht="17" customHeight="1" x14ac:dyDescent="0.35">
      <c r="A524" s="39"/>
      <c r="B524" s="40"/>
      <c r="C524" s="40"/>
      <c r="D524" s="41" t="s">
        <v>77</v>
      </c>
      <c r="E524" s="40"/>
      <c r="F524" s="40"/>
      <c r="G524" s="42" t="str">
        <f t="shared" si="8"/>
        <v/>
      </c>
      <c r="H524" s="40"/>
      <c r="I524" s="43" t="str">
        <f>IF(OR(B524="",C524=""),"",IF(COUNTIFS(재료목록!$A$2:$A$51,B524,재료목록!$B$2:$B$51,C524)&gt;0,"OK","불일치"))</f>
        <v/>
      </c>
    </row>
    <row r="525" spans="1:9" ht="17" customHeight="1" x14ac:dyDescent="0.35">
      <c r="A525" s="39"/>
      <c r="B525" s="40"/>
      <c r="C525" s="40"/>
      <c r="D525" s="41" t="s">
        <v>77</v>
      </c>
      <c r="E525" s="40"/>
      <c r="F525" s="40"/>
      <c r="G525" s="42" t="str">
        <f t="shared" si="8"/>
        <v/>
      </c>
      <c r="H525" s="40"/>
      <c r="I525" s="43" t="str">
        <f>IF(OR(B525="",C525=""),"",IF(COUNTIFS(재료목록!$A$2:$A$51,B525,재료목록!$B$2:$B$51,C525)&gt;0,"OK","불일치"))</f>
        <v/>
      </c>
    </row>
    <row r="526" spans="1:9" ht="17" customHeight="1" x14ac:dyDescent="0.35">
      <c r="A526" s="39"/>
      <c r="B526" s="40"/>
      <c r="C526" s="40"/>
      <c r="D526" s="41" t="s">
        <v>77</v>
      </c>
      <c r="E526" s="40"/>
      <c r="F526" s="40"/>
      <c r="G526" s="42" t="str">
        <f t="shared" si="8"/>
        <v/>
      </c>
      <c r="H526" s="40"/>
      <c r="I526" s="43" t="str">
        <f>IF(OR(B526="",C526=""),"",IF(COUNTIFS(재료목록!$A$2:$A$51,B526,재료목록!$B$2:$B$51,C526)&gt;0,"OK","불일치"))</f>
        <v/>
      </c>
    </row>
    <row r="527" spans="1:9" ht="17" customHeight="1" x14ac:dyDescent="0.35">
      <c r="A527" s="39"/>
      <c r="B527" s="40"/>
      <c r="C527" s="40"/>
      <c r="D527" s="41" t="s">
        <v>77</v>
      </c>
      <c r="E527" s="40"/>
      <c r="F527" s="40"/>
      <c r="G527" s="42" t="str">
        <f t="shared" si="8"/>
        <v/>
      </c>
      <c r="H527" s="40"/>
      <c r="I527" s="43" t="str">
        <f>IF(OR(B527="",C527=""),"",IF(COUNTIFS(재료목록!$A$2:$A$51,B527,재료목록!$B$2:$B$51,C527)&gt;0,"OK","불일치"))</f>
        <v/>
      </c>
    </row>
    <row r="528" spans="1:9" ht="17" customHeight="1" x14ac:dyDescent="0.35">
      <c r="A528" s="39"/>
      <c r="B528" s="40"/>
      <c r="C528" s="40"/>
      <c r="D528" s="41" t="s">
        <v>77</v>
      </c>
      <c r="E528" s="40"/>
      <c r="F528" s="40"/>
      <c r="G528" s="42" t="str">
        <f t="shared" si="8"/>
        <v/>
      </c>
      <c r="H528" s="40"/>
      <c r="I528" s="43" t="str">
        <f>IF(OR(B528="",C528=""),"",IF(COUNTIFS(재료목록!$A$2:$A$51,B528,재료목록!$B$2:$B$51,C528)&gt;0,"OK","불일치"))</f>
        <v/>
      </c>
    </row>
    <row r="529" spans="1:9" ht="17" customHeight="1" x14ac:dyDescent="0.35">
      <c r="A529" s="39"/>
      <c r="B529" s="40"/>
      <c r="C529" s="40"/>
      <c r="D529" s="41" t="s">
        <v>77</v>
      </c>
      <c r="E529" s="40"/>
      <c r="F529" s="40"/>
      <c r="G529" s="42" t="str">
        <f t="shared" si="8"/>
        <v/>
      </c>
      <c r="H529" s="40"/>
      <c r="I529" s="43" t="str">
        <f>IF(OR(B529="",C529=""),"",IF(COUNTIFS(재료목록!$A$2:$A$51,B529,재료목록!$B$2:$B$51,C529)&gt;0,"OK","불일치"))</f>
        <v/>
      </c>
    </row>
    <row r="530" spans="1:9" ht="17" customHeight="1" x14ac:dyDescent="0.35">
      <c r="A530" s="39"/>
      <c r="B530" s="40"/>
      <c r="C530" s="40"/>
      <c r="D530" s="41" t="s">
        <v>77</v>
      </c>
      <c r="E530" s="40"/>
      <c r="F530" s="40"/>
      <c r="G530" s="42" t="str">
        <f t="shared" si="8"/>
        <v/>
      </c>
      <c r="H530" s="40"/>
      <c r="I530" s="43" t="str">
        <f>IF(OR(B530="",C530=""),"",IF(COUNTIFS(재료목록!$A$2:$A$51,B530,재료목록!$B$2:$B$51,C530)&gt;0,"OK","불일치"))</f>
        <v/>
      </c>
    </row>
    <row r="531" spans="1:9" ht="17" customHeight="1" x14ac:dyDescent="0.35">
      <c r="A531" s="39"/>
      <c r="B531" s="40"/>
      <c r="C531" s="40"/>
      <c r="D531" s="41" t="s">
        <v>77</v>
      </c>
      <c r="E531" s="40"/>
      <c r="F531" s="40"/>
      <c r="G531" s="42" t="str">
        <f t="shared" si="8"/>
        <v/>
      </c>
      <c r="H531" s="40"/>
      <c r="I531" s="43" t="str">
        <f>IF(OR(B531="",C531=""),"",IF(COUNTIFS(재료목록!$A$2:$A$51,B531,재료목록!$B$2:$B$51,C531)&gt;0,"OK","불일치"))</f>
        <v/>
      </c>
    </row>
    <row r="532" spans="1:9" ht="17" customHeight="1" x14ac:dyDescent="0.35">
      <c r="A532" s="39"/>
      <c r="B532" s="40"/>
      <c r="C532" s="40"/>
      <c r="D532" s="41" t="s">
        <v>77</v>
      </c>
      <c r="E532" s="40"/>
      <c r="F532" s="40"/>
      <c r="G532" s="42" t="str">
        <f t="shared" si="8"/>
        <v/>
      </c>
      <c r="H532" s="40"/>
      <c r="I532" s="43" t="str">
        <f>IF(OR(B532="",C532=""),"",IF(COUNTIFS(재료목록!$A$2:$A$51,B532,재료목록!$B$2:$B$51,C532)&gt;0,"OK","불일치"))</f>
        <v/>
      </c>
    </row>
    <row r="533" spans="1:9" ht="17" customHeight="1" x14ac:dyDescent="0.35">
      <c r="A533" s="39"/>
      <c r="B533" s="40"/>
      <c r="C533" s="40"/>
      <c r="D533" s="41" t="s">
        <v>77</v>
      </c>
      <c r="E533" s="40"/>
      <c r="F533" s="40"/>
      <c r="G533" s="42" t="str">
        <f t="shared" si="8"/>
        <v/>
      </c>
      <c r="H533" s="40"/>
      <c r="I533" s="43" t="str">
        <f>IF(OR(B533="",C533=""),"",IF(COUNTIFS(재료목록!$A$2:$A$51,B533,재료목록!$B$2:$B$51,C533)&gt;0,"OK","불일치"))</f>
        <v/>
      </c>
    </row>
    <row r="534" spans="1:9" ht="17" customHeight="1" x14ac:dyDescent="0.35">
      <c r="A534" s="39"/>
      <c r="B534" s="40"/>
      <c r="C534" s="40"/>
      <c r="D534" s="41" t="s">
        <v>77</v>
      </c>
      <c r="E534" s="40"/>
      <c r="F534" s="40"/>
      <c r="G534" s="42" t="str">
        <f t="shared" si="8"/>
        <v/>
      </c>
      <c r="H534" s="40"/>
      <c r="I534" s="43" t="str">
        <f>IF(OR(B534="",C534=""),"",IF(COUNTIFS(재료목록!$A$2:$A$51,B534,재료목록!$B$2:$B$51,C534)&gt;0,"OK","불일치"))</f>
        <v/>
      </c>
    </row>
    <row r="535" spans="1:9" ht="17" customHeight="1" x14ac:dyDescent="0.35">
      <c r="A535" s="39"/>
      <c r="B535" s="40"/>
      <c r="C535" s="40"/>
      <c r="D535" s="41" t="s">
        <v>77</v>
      </c>
      <c r="E535" s="40"/>
      <c r="F535" s="40"/>
      <c r="G535" s="42" t="str">
        <f t="shared" si="8"/>
        <v/>
      </c>
      <c r="H535" s="40"/>
      <c r="I535" s="43" t="str">
        <f>IF(OR(B535="",C535=""),"",IF(COUNTIFS(재료목록!$A$2:$A$51,B535,재료목록!$B$2:$B$51,C535)&gt;0,"OK","불일치"))</f>
        <v/>
      </c>
    </row>
    <row r="536" spans="1:9" ht="17" customHeight="1" x14ac:dyDescent="0.35">
      <c r="A536" s="39"/>
      <c r="B536" s="40"/>
      <c r="C536" s="40"/>
      <c r="D536" s="41" t="s">
        <v>77</v>
      </c>
      <c r="E536" s="40"/>
      <c r="F536" s="40"/>
      <c r="G536" s="42" t="str">
        <f t="shared" si="8"/>
        <v/>
      </c>
      <c r="H536" s="40"/>
      <c r="I536" s="43" t="str">
        <f>IF(OR(B536="",C536=""),"",IF(COUNTIFS(재료목록!$A$2:$A$51,B536,재료목록!$B$2:$B$51,C536)&gt;0,"OK","불일치"))</f>
        <v/>
      </c>
    </row>
    <row r="537" spans="1:9" ht="17" customHeight="1" x14ac:dyDescent="0.35">
      <c r="A537" s="39"/>
      <c r="B537" s="40"/>
      <c r="C537" s="40"/>
      <c r="D537" s="41" t="s">
        <v>77</v>
      </c>
      <c r="E537" s="40"/>
      <c r="F537" s="40"/>
      <c r="G537" s="42" t="str">
        <f t="shared" si="8"/>
        <v/>
      </c>
      <c r="H537" s="40"/>
      <c r="I537" s="43" t="str">
        <f>IF(OR(B537="",C537=""),"",IF(COUNTIFS(재료목록!$A$2:$A$51,B537,재료목록!$B$2:$B$51,C537)&gt;0,"OK","불일치"))</f>
        <v/>
      </c>
    </row>
    <row r="538" spans="1:9" ht="17" customHeight="1" x14ac:dyDescent="0.35">
      <c r="A538" s="39"/>
      <c r="B538" s="40"/>
      <c r="C538" s="40"/>
      <c r="D538" s="41" t="s">
        <v>77</v>
      </c>
      <c r="E538" s="40"/>
      <c r="F538" s="40"/>
      <c r="G538" s="42" t="str">
        <f t="shared" si="8"/>
        <v/>
      </c>
      <c r="H538" s="40"/>
      <c r="I538" s="43" t="str">
        <f>IF(OR(B538="",C538=""),"",IF(COUNTIFS(재료목록!$A$2:$A$51,B538,재료목록!$B$2:$B$51,C538)&gt;0,"OK","불일치"))</f>
        <v/>
      </c>
    </row>
    <row r="539" spans="1:9" ht="17" customHeight="1" x14ac:dyDescent="0.35">
      <c r="A539" s="39"/>
      <c r="B539" s="40"/>
      <c r="C539" s="40"/>
      <c r="D539" s="41" t="s">
        <v>77</v>
      </c>
      <c r="E539" s="40"/>
      <c r="F539" s="40"/>
      <c r="G539" s="42" t="str">
        <f t="shared" si="8"/>
        <v/>
      </c>
      <c r="H539" s="40"/>
      <c r="I539" s="43" t="str">
        <f>IF(OR(B539="",C539=""),"",IF(COUNTIFS(재료목록!$A$2:$A$51,B539,재료목록!$B$2:$B$51,C539)&gt;0,"OK","불일치"))</f>
        <v/>
      </c>
    </row>
    <row r="540" spans="1:9" ht="17" customHeight="1" x14ac:dyDescent="0.35">
      <c r="A540" s="39"/>
      <c r="B540" s="40"/>
      <c r="C540" s="40"/>
      <c r="D540" s="41" t="s">
        <v>77</v>
      </c>
      <c r="E540" s="40"/>
      <c r="F540" s="40"/>
      <c r="G540" s="42" t="str">
        <f t="shared" si="8"/>
        <v/>
      </c>
      <c r="H540" s="40"/>
      <c r="I540" s="43" t="str">
        <f>IF(OR(B540="",C540=""),"",IF(COUNTIFS(재료목록!$A$2:$A$51,B540,재료목록!$B$2:$B$51,C540)&gt;0,"OK","불일치"))</f>
        <v/>
      </c>
    </row>
    <row r="541" spans="1:9" ht="17" customHeight="1" x14ac:dyDescent="0.35">
      <c r="A541" s="39"/>
      <c r="B541" s="40"/>
      <c r="C541" s="40"/>
      <c r="D541" s="41" t="s">
        <v>77</v>
      </c>
      <c r="E541" s="40"/>
      <c r="F541" s="40"/>
      <c r="G541" s="42" t="str">
        <f t="shared" si="8"/>
        <v/>
      </c>
      <c r="H541" s="40"/>
      <c r="I541" s="43" t="str">
        <f>IF(OR(B541="",C541=""),"",IF(COUNTIFS(재료목록!$A$2:$A$51,B541,재료목록!$B$2:$B$51,C541)&gt;0,"OK","불일치"))</f>
        <v/>
      </c>
    </row>
    <row r="542" spans="1:9" ht="17" customHeight="1" x14ac:dyDescent="0.35">
      <c r="A542" s="39"/>
      <c r="B542" s="40"/>
      <c r="C542" s="40"/>
      <c r="D542" s="41" t="s">
        <v>77</v>
      </c>
      <c r="E542" s="40"/>
      <c r="F542" s="40"/>
      <c r="G542" s="42" t="str">
        <f t="shared" si="8"/>
        <v/>
      </c>
      <c r="H542" s="40"/>
      <c r="I542" s="43" t="str">
        <f>IF(OR(B542="",C542=""),"",IF(COUNTIFS(재료목록!$A$2:$A$51,B542,재료목록!$B$2:$B$51,C542)&gt;0,"OK","불일치"))</f>
        <v/>
      </c>
    </row>
    <row r="543" spans="1:9" ht="17" customHeight="1" x14ac:dyDescent="0.35">
      <c r="A543" s="39"/>
      <c r="B543" s="40"/>
      <c r="C543" s="40"/>
      <c r="D543" s="41" t="s">
        <v>77</v>
      </c>
      <c r="E543" s="40"/>
      <c r="F543" s="40"/>
      <c r="G543" s="42" t="str">
        <f t="shared" si="8"/>
        <v/>
      </c>
      <c r="H543" s="40"/>
      <c r="I543" s="43" t="str">
        <f>IF(OR(B543="",C543=""),"",IF(COUNTIFS(재료목록!$A$2:$A$51,B543,재료목록!$B$2:$B$51,C543)&gt;0,"OK","불일치"))</f>
        <v/>
      </c>
    </row>
    <row r="544" spans="1:9" ht="17" customHeight="1" x14ac:dyDescent="0.35">
      <c r="A544" s="39"/>
      <c r="B544" s="40"/>
      <c r="C544" s="40"/>
      <c r="D544" s="41" t="s">
        <v>77</v>
      </c>
      <c r="E544" s="40"/>
      <c r="F544" s="40"/>
      <c r="G544" s="42" t="str">
        <f t="shared" si="8"/>
        <v/>
      </c>
      <c r="H544" s="40"/>
      <c r="I544" s="43" t="str">
        <f>IF(OR(B544="",C544=""),"",IF(COUNTIFS(재료목록!$A$2:$A$51,B544,재료목록!$B$2:$B$51,C544)&gt;0,"OK","불일치"))</f>
        <v/>
      </c>
    </row>
    <row r="545" spans="1:9" ht="17" customHeight="1" x14ac:dyDescent="0.35">
      <c r="A545" s="39"/>
      <c r="B545" s="40"/>
      <c r="C545" s="40"/>
      <c r="D545" s="41" t="s">
        <v>77</v>
      </c>
      <c r="E545" s="40"/>
      <c r="F545" s="40"/>
      <c r="G545" s="42" t="str">
        <f t="shared" si="8"/>
        <v/>
      </c>
      <c r="H545" s="40"/>
      <c r="I545" s="43" t="str">
        <f>IF(OR(B545="",C545=""),"",IF(COUNTIFS(재료목록!$A$2:$A$51,B545,재료목록!$B$2:$B$51,C545)&gt;0,"OK","불일치"))</f>
        <v/>
      </c>
    </row>
    <row r="546" spans="1:9" ht="17" customHeight="1" x14ac:dyDescent="0.35">
      <c r="A546" s="39"/>
      <c r="B546" s="40"/>
      <c r="C546" s="40"/>
      <c r="D546" s="41" t="s">
        <v>77</v>
      </c>
      <c r="E546" s="40"/>
      <c r="F546" s="40"/>
      <c r="G546" s="42" t="str">
        <f t="shared" si="8"/>
        <v/>
      </c>
      <c r="H546" s="40"/>
      <c r="I546" s="43" t="str">
        <f>IF(OR(B546="",C546=""),"",IF(COUNTIFS(재료목록!$A$2:$A$51,B546,재료목록!$B$2:$B$51,C546)&gt;0,"OK","불일치"))</f>
        <v/>
      </c>
    </row>
    <row r="547" spans="1:9" ht="17" customHeight="1" x14ac:dyDescent="0.35">
      <c r="A547" s="39"/>
      <c r="B547" s="40"/>
      <c r="C547" s="40"/>
      <c r="D547" s="41" t="s">
        <v>77</v>
      </c>
      <c r="E547" s="40"/>
      <c r="F547" s="40"/>
      <c r="G547" s="42" t="str">
        <f t="shared" si="8"/>
        <v/>
      </c>
      <c r="H547" s="40"/>
      <c r="I547" s="43" t="str">
        <f>IF(OR(B547="",C547=""),"",IF(COUNTIFS(재료목록!$A$2:$A$51,B547,재료목록!$B$2:$B$51,C547)&gt;0,"OK","불일치"))</f>
        <v/>
      </c>
    </row>
    <row r="548" spans="1:9" ht="17" customHeight="1" x14ac:dyDescent="0.35">
      <c r="A548" s="39"/>
      <c r="B548" s="40"/>
      <c r="C548" s="40"/>
      <c r="D548" s="41" t="s">
        <v>77</v>
      </c>
      <c r="E548" s="40"/>
      <c r="F548" s="40"/>
      <c r="G548" s="42" t="str">
        <f t="shared" si="8"/>
        <v/>
      </c>
      <c r="H548" s="40"/>
      <c r="I548" s="43" t="str">
        <f>IF(OR(B548="",C548=""),"",IF(COUNTIFS(재료목록!$A$2:$A$51,B548,재료목록!$B$2:$B$51,C548)&gt;0,"OK","불일치"))</f>
        <v/>
      </c>
    </row>
    <row r="549" spans="1:9" ht="17" customHeight="1" x14ac:dyDescent="0.35">
      <c r="A549" s="39"/>
      <c r="B549" s="40"/>
      <c r="C549" s="40"/>
      <c r="D549" s="41" t="s">
        <v>77</v>
      </c>
      <c r="E549" s="40"/>
      <c r="F549" s="40"/>
      <c r="G549" s="42" t="str">
        <f t="shared" si="8"/>
        <v/>
      </c>
      <c r="H549" s="40"/>
      <c r="I549" s="43" t="str">
        <f>IF(OR(B549="",C549=""),"",IF(COUNTIFS(재료목록!$A$2:$A$51,B549,재료목록!$B$2:$B$51,C549)&gt;0,"OK","불일치"))</f>
        <v/>
      </c>
    </row>
    <row r="550" spans="1:9" ht="17" customHeight="1" x14ac:dyDescent="0.35">
      <c r="A550" s="39"/>
      <c r="B550" s="40"/>
      <c r="C550" s="40"/>
      <c r="D550" s="41" t="s">
        <v>77</v>
      </c>
      <c r="E550" s="40"/>
      <c r="F550" s="40"/>
      <c r="G550" s="42" t="str">
        <f t="shared" si="8"/>
        <v/>
      </c>
      <c r="H550" s="40"/>
      <c r="I550" s="43" t="str">
        <f>IF(OR(B550="",C550=""),"",IF(COUNTIFS(재료목록!$A$2:$A$51,B550,재료목록!$B$2:$B$51,C550)&gt;0,"OK","불일치"))</f>
        <v/>
      </c>
    </row>
    <row r="551" spans="1:9" ht="17" customHeight="1" x14ac:dyDescent="0.35">
      <c r="A551" s="39"/>
      <c r="B551" s="40"/>
      <c r="C551" s="40"/>
      <c r="D551" s="41" t="s">
        <v>77</v>
      </c>
      <c r="E551" s="40"/>
      <c r="F551" s="40"/>
      <c r="G551" s="42" t="str">
        <f t="shared" si="8"/>
        <v/>
      </c>
      <c r="H551" s="40"/>
      <c r="I551" s="43" t="str">
        <f>IF(OR(B551="",C551=""),"",IF(COUNTIFS(재료목록!$A$2:$A$51,B551,재료목록!$B$2:$B$51,C551)&gt;0,"OK","불일치"))</f>
        <v/>
      </c>
    </row>
    <row r="552" spans="1:9" ht="17" customHeight="1" x14ac:dyDescent="0.35">
      <c r="A552" s="39"/>
      <c r="B552" s="40"/>
      <c r="C552" s="40"/>
      <c r="D552" s="41" t="s">
        <v>77</v>
      </c>
      <c r="E552" s="40"/>
      <c r="F552" s="40"/>
      <c r="G552" s="42" t="str">
        <f t="shared" si="8"/>
        <v/>
      </c>
      <c r="H552" s="40"/>
      <c r="I552" s="43" t="str">
        <f>IF(OR(B552="",C552=""),"",IF(COUNTIFS(재료목록!$A$2:$A$51,B552,재료목록!$B$2:$B$51,C552)&gt;0,"OK","불일치"))</f>
        <v/>
      </c>
    </row>
    <row r="553" spans="1:9" ht="17" customHeight="1" x14ac:dyDescent="0.35">
      <c r="A553" s="39"/>
      <c r="B553" s="40"/>
      <c r="C553" s="40"/>
      <c r="D553" s="41" t="s">
        <v>77</v>
      </c>
      <c r="E553" s="40"/>
      <c r="F553" s="40"/>
      <c r="G553" s="42" t="str">
        <f t="shared" si="8"/>
        <v/>
      </c>
      <c r="H553" s="40"/>
      <c r="I553" s="43" t="str">
        <f>IF(OR(B553="",C553=""),"",IF(COUNTIFS(재료목록!$A$2:$A$51,B553,재료목록!$B$2:$B$51,C553)&gt;0,"OK","불일치"))</f>
        <v/>
      </c>
    </row>
    <row r="554" spans="1:9" ht="17" customHeight="1" x14ac:dyDescent="0.35">
      <c r="A554" s="39"/>
      <c r="B554" s="40"/>
      <c r="C554" s="40"/>
      <c r="D554" s="41" t="s">
        <v>77</v>
      </c>
      <c r="E554" s="40"/>
      <c r="F554" s="40"/>
      <c r="G554" s="42" t="str">
        <f t="shared" si="8"/>
        <v/>
      </c>
      <c r="H554" s="40"/>
      <c r="I554" s="43" t="str">
        <f>IF(OR(B554="",C554=""),"",IF(COUNTIFS(재료목록!$A$2:$A$51,B554,재료목록!$B$2:$B$51,C554)&gt;0,"OK","불일치"))</f>
        <v/>
      </c>
    </row>
    <row r="555" spans="1:9" ht="17" customHeight="1" x14ac:dyDescent="0.35">
      <c r="A555" s="39"/>
      <c r="B555" s="40"/>
      <c r="C555" s="40"/>
      <c r="D555" s="41" t="s">
        <v>77</v>
      </c>
      <c r="E555" s="40"/>
      <c r="F555" s="40"/>
      <c r="G555" s="42" t="str">
        <f t="shared" si="8"/>
        <v/>
      </c>
      <c r="H555" s="40"/>
      <c r="I555" s="43" t="str">
        <f>IF(OR(B555="",C555=""),"",IF(COUNTIFS(재료목록!$A$2:$A$51,B555,재료목록!$B$2:$B$51,C555)&gt;0,"OK","불일치"))</f>
        <v/>
      </c>
    </row>
    <row r="556" spans="1:9" ht="17" customHeight="1" x14ac:dyDescent="0.35">
      <c r="A556" s="39"/>
      <c r="B556" s="40"/>
      <c r="C556" s="40"/>
      <c r="D556" s="41" t="s">
        <v>77</v>
      </c>
      <c r="E556" s="40"/>
      <c r="F556" s="40"/>
      <c r="G556" s="42" t="str">
        <f t="shared" si="8"/>
        <v/>
      </c>
      <c r="H556" s="40"/>
      <c r="I556" s="43" t="str">
        <f>IF(OR(B556="",C556=""),"",IF(COUNTIFS(재료목록!$A$2:$A$51,B556,재료목록!$B$2:$B$51,C556)&gt;0,"OK","불일치"))</f>
        <v/>
      </c>
    </row>
    <row r="557" spans="1:9" ht="17" customHeight="1" x14ac:dyDescent="0.35">
      <c r="A557" s="39"/>
      <c r="B557" s="40"/>
      <c r="C557" s="40"/>
      <c r="D557" s="41" t="s">
        <v>77</v>
      </c>
      <c r="E557" s="40"/>
      <c r="F557" s="40"/>
      <c r="G557" s="42" t="str">
        <f t="shared" si="8"/>
        <v/>
      </c>
      <c r="H557" s="40"/>
      <c r="I557" s="43" t="str">
        <f>IF(OR(B557="",C557=""),"",IF(COUNTIFS(재료목록!$A$2:$A$51,B557,재료목록!$B$2:$B$51,C557)&gt;0,"OK","불일치"))</f>
        <v/>
      </c>
    </row>
    <row r="558" spans="1:9" ht="17" customHeight="1" x14ac:dyDescent="0.35">
      <c r="A558" s="39"/>
      <c r="B558" s="40"/>
      <c r="C558" s="40"/>
      <c r="D558" s="41" t="s">
        <v>77</v>
      </c>
      <c r="E558" s="40"/>
      <c r="F558" s="40"/>
      <c r="G558" s="42" t="str">
        <f t="shared" si="8"/>
        <v/>
      </c>
      <c r="H558" s="40"/>
      <c r="I558" s="43" t="str">
        <f>IF(OR(B558="",C558=""),"",IF(COUNTIFS(재료목록!$A$2:$A$51,B558,재료목록!$B$2:$B$51,C558)&gt;0,"OK","불일치"))</f>
        <v/>
      </c>
    </row>
    <row r="559" spans="1:9" ht="17" customHeight="1" x14ac:dyDescent="0.35">
      <c r="A559" s="39"/>
      <c r="B559" s="40"/>
      <c r="C559" s="40"/>
      <c r="D559" s="41" t="s">
        <v>77</v>
      </c>
      <c r="E559" s="40"/>
      <c r="F559" s="40"/>
      <c r="G559" s="42" t="str">
        <f t="shared" si="8"/>
        <v/>
      </c>
      <c r="H559" s="40"/>
      <c r="I559" s="43" t="str">
        <f>IF(OR(B559="",C559=""),"",IF(COUNTIFS(재료목록!$A$2:$A$51,B559,재료목록!$B$2:$B$51,C559)&gt;0,"OK","불일치"))</f>
        <v/>
      </c>
    </row>
    <row r="560" spans="1:9" ht="17" customHeight="1" x14ac:dyDescent="0.35">
      <c r="A560" s="39"/>
      <c r="B560" s="40"/>
      <c r="C560" s="40"/>
      <c r="D560" s="41" t="s">
        <v>77</v>
      </c>
      <c r="E560" s="40"/>
      <c r="F560" s="40"/>
      <c r="G560" s="42" t="str">
        <f t="shared" si="8"/>
        <v/>
      </c>
      <c r="H560" s="40"/>
      <c r="I560" s="43" t="str">
        <f>IF(OR(B560="",C560=""),"",IF(COUNTIFS(재료목록!$A$2:$A$51,B560,재료목록!$B$2:$B$51,C560)&gt;0,"OK","불일치"))</f>
        <v/>
      </c>
    </row>
    <row r="561" spans="1:9" ht="17" customHeight="1" x14ac:dyDescent="0.35">
      <c r="A561" s="39"/>
      <c r="B561" s="40"/>
      <c r="C561" s="40"/>
      <c r="D561" s="41" t="s">
        <v>77</v>
      </c>
      <c r="E561" s="40"/>
      <c r="F561" s="40"/>
      <c r="G561" s="42" t="str">
        <f t="shared" si="8"/>
        <v/>
      </c>
      <c r="H561" s="40"/>
      <c r="I561" s="43" t="str">
        <f>IF(OR(B561="",C561=""),"",IF(COUNTIFS(재료목록!$A$2:$A$51,B561,재료목록!$B$2:$B$51,C561)&gt;0,"OK","불일치"))</f>
        <v/>
      </c>
    </row>
  </sheetData>
  <phoneticPr fontId="7" type="noConversion"/>
  <conditionalFormatting sqref="A2:I561">
    <cfRule type="expression" dxfId="2" priority="1">
      <formula>$I2="불일치"</formula>
    </cfRule>
    <cfRule type="expression" dxfId="1" priority="2">
      <formula>$I2="OK"</formula>
    </cfRule>
  </conditionalFormatting>
  <dataValidations count="2">
    <dataValidation type="list" allowBlank="1" showInputMessage="1" showErrorMessage="1" sqref="B1:B1048576" xr:uid="{00000000-0002-0000-0300-000000000000}">
      <formula1>"닭강정,떡볶이,붕어빵,꼬치오뎅"</formula1>
    </dataValidation>
    <dataValidation type="list" allowBlank="1" showInputMessage="1" showErrorMessage="1" sqref="C2:C548" xr:uid="{00000000-0002-0000-0300-000001000000}">
      <formula1>INDIRECT(B2)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05"/>
  <sheetViews>
    <sheetView workbookViewId="0">
      <pane ySplit="1" topLeftCell="A77" activePane="bottomLeft" state="frozen"/>
      <selection pane="bottomLeft" activeCell="B86" sqref="B86"/>
    </sheetView>
  </sheetViews>
  <sheetFormatPr defaultRowHeight="14.5" x14ac:dyDescent="0.35"/>
  <cols>
    <col min="1" max="1" width="12" customWidth="1"/>
    <col min="2" max="2" width="13" customWidth="1"/>
    <col min="3" max="3" width="13" bestFit="1" customWidth="1"/>
    <col min="4" max="10" width="13" customWidth="1"/>
    <col min="11" max="11" width="15" customWidth="1"/>
  </cols>
  <sheetData>
    <row r="1" spans="1:11" ht="14.65" customHeight="1" x14ac:dyDescent="0.35">
      <c r="A1" s="17" t="s">
        <v>66</v>
      </c>
      <c r="B1" s="17" t="s">
        <v>99</v>
      </c>
      <c r="C1" s="17" t="s">
        <v>100</v>
      </c>
      <c r="D1" s="17" t="s">
        <v>101</v>
      </c>
      <c r="E1" s="17" t="s">
        <v>102</v>
      </c>
      <c r="F1" s="17" t="s">
        <v>103</v>
      </c>
      <c r="G1" s="17" t="s">
        <v>104</v>
      </c>
      <c r="H1" s="17" t="s">
        <v>105</v>
      </c>
      <c r="I1" s="17" t="s">
        <v>106</v>
      </c>
      <c r="J1" s="17" t="s">
        <v>107</v>
      </c>
      <c r="K1" s="17" t="s">
        <v>71</v>
      </c>
    </row>
    <row r="2" spans="1:11" x14ac:dyDescent="0.35">
      <c r="A2" s="39">
        <v>45919</v>
      </c>
      <c r="B2" s="46"/>
      <c r="C2" s="46"/>
      <c r="D2" s="46"/>
      <c r="E2" s="46"/>
      <c r="F2" s="46"/>
      <c r="G2" s="46"/>
      <c r="H2" s="46">
        <v>3</v>
      </c>
      <c r="I2" s="46">
        <v>3</v>
      </c>
      <c r="J2" s="46"/>
      <c r="K2" s="47"/>
    </row>
    <row r="3" spans="1:11" x14ac:dyDescent="0.35">
      <c r="A3" s="39">
        <v>45920</v>
      </c>
      <c r="B3" s="46"/>
      <c r="C3" s="46"/>
      <c r="D3" s="46"/>
      <c r="E3" s="46"/>
      <c r="F3" s="46"/>
      <c r="G3" s="46"/>
      <c r="H3" s="46">
        <v>2</v>
      </c>
      <c r="I3" s="46">
        <v>1</v>
      </c>
      <c r="J3" s="46"/>
      <c r="K3" s="47"/>
    </row>
    <row r="4" spans="1:11" x14ac:dyDescent="0.35">
      <c r="A4" s="39">
        <v>45922</v>
      </c>
      <c r="B4" s="46"/>
      <c r="C4" s="46"/>
      <c r="D4" s="46"/>
      <c r="E4" s="46"/>
      <c r="F4" s="46"/>
      <c r="G4" s="46"/>
      <c r="H4" s="46">
        <v>7</v>
      </c>
      <c r="I4" s="46">
        <v>11</v>
      </c>
      <c r="J4" s="46"/>
      <c r="K4" s="47"/>
    </row>
    <row r="5" spans="1:11" x14ac:dyDescent="0.35">
      <c r="A5" s="39">
        <v>45923</v>
      </c>
      <c r="B5" s="46"/>
      <c r="C5" s="46"/>
      <c r="D5" s="46"/>
      <c r="E5" s="46"/>
      <c r="F5" s="46"/>
      <c r="G5" s="46"/>
      <c r="H5" s="46">
        <v>13</v>
      </c>
      <c r="I5" s="46">
        <v>17</v>
      </c>
      <c r="J5" s="46"/>
      <c r="K5" s="47"/>
    </row>
    <row r="6" spans="1:11" x14ac:dyDescent="0.35">
      <c r="A6" s="39">
        <v>45924</v>
      </c>
      <c r="B6" s="46"/>
      <c r="C6" s="46"/>
      <c r="D6" s="46"/>
      <c r="E6" s="46"/>
      <c r="F6" s="46"/>
      <c r="G6" s="46"/>
      <c r="H6" s="46">
        <v>6</v>
      </c>
      <c r="I6" s="46">
        <v>24</v>
      </c>
      <c r="J6" s="46"/>
      <c r="K6" s="47"/>
    </row>
    <row r="7" spans="1:11" x14ac:dyDescent="0.35">
      <c r="A7" s="39">
        <v>45925</v>
      </c>
      <c r="B7" s="46"/>
      <c r="C7" s="46"/>
      <c r="D7" s="46"/>
      <c r="E7" s="46"/>
      <c r="F7" s="46"/>
      <c r="G7" s="46"/>
      <c r="H7" s="46">
        <v>21</v>
      </c>
      <c r="I7" s="46">
        <v>42</v>
      </c>
      <c r="J7" s="46"/>
      <c r="K7" s="47"/>
    </row>
    <row r="8" spans="1:11" x14ac:dyDescent="0.35">
      <c r="A8" s="39">
        <v>45926</v>
      </c>
      <c r="B8" s="46"/>
      <c r="C8" s="46"/>
      <c r="D8" s="46"/>
      <c r="E8" s="46"/>
      <c r="F8" s="46"/>
      <c r="G8" s="46"/>
      <c r="H8" s="46">
        <v>22</v>
      </c>
      <c r="I8" s="46">
        <v>23</v>
      </c>
      <c r="J8" s="46"/>
      <c r="K8" s="47"/>
    </row>
    <row r="9" spans="1:11" x14ac:dyDescent="0.35">
      <c r="A9" s="39">
        <v>45927</v>
      </c>
      <c r="B9" s="46"/>
      <c r="C9" s="46"/>
      <c r="D9" s="46"/>
      <c r="E9" s="46"/>
      <c r="F9" s="46"/>
      <c r="G9" s="46"/>
      <c r="H9" s="46">
        <v>22</v>
      </c>
      <c r="I9" s="46">
        <v>8</v>
      </c>
      <c r="J9" s="46"/>
      <c r="K9" s="47"/>
    </row>
    <row r="10" spans="1:11" x14ac:dyDescent="0.35">
      <c r="A10" s="39">
        <v>45929</v>
      </c>
      <c r="B10" s="46"/>
      <c r="C10" s="46"/>
      <c r="D10" s="46"/>
      <c r="E10" s="46"/>
      <c r="F10" s="46"/>
      <c r="G10" s="46"/>
      <c r="H10" s="46">
        <v>31</v>
      </c>
      <c r="I10" s="46">
        <v>44</v>
      </c>
      <c r="J10" s="46"/>
      <c r="K10" s="47"/>
    </row>
    <row r="11" spans="1:11" x14ac:dyDescent="0.35">
      <c r="A11" s="39">
        <v>45930</v>
      </c>
      <c r="B11" s="46"/>
      <c r="C11" s="46"/>
      <c r="D11" s="46"/>
      <c r="E11" s="46"/>
      <c r="F11" s="46"/>
      <c r="G11" s="46"/>
      <c r="H11" s="46">
        <v>48</v>
      </c>
      <c r="I11" s="46">
        <v>35</v>
      </c>
      <c r="J11" s="46"/>
      <c r="K11" s="47"/>
    </row>
    <row r="12" spans="1:11" x14ac:dyDescent="0.35">
      <c r="A12" s="39">
        <v>45931</v>
      </c>
      <c r="B12" s="46"/>
      <c r="C12" s="46"/>
      <c r="D12" s="46"/>
      <c r="E12" s="46"/>
      <c r="F12" s="46"/>
      <c r="G12" s="46"/>
      <c r="H12" s="46">
        <v>37</v>
      </c>
      <c r="I12" s="46">
        <v>44</v>
      </c>
      <c r="J12" s="46"/>
      <c r="K12" s="47"/>
    </row>
    <row r="13" spans="1:11" x14ac:dyDescent="0.35">
      <c r="A13" s="39">
        <v>45932</v>
      </c>
      <c r="B13" s="46"/>
      <c r="C13" s="46"/>
      <c r="D13" s="46"/>
      <c r="E13" s="46"/>
      <c r="F13" s="46"/>
      <c r="G13" s="46"/>
      <c r="H13" s="46">
        <v>34</v>
      </c>
      <c r="I13" s="46">
        <v>32</v>
      </c>
      <c r="J13" s="46"/>
      <c r="K13" s="47"/>
    </row>
    <row r="14" spans="1:11" x14ac:dyDescent="0.35">
      <c r="A14" s="39">
        <v>45933</v>
      </c>
      <c r="B14" s="46"/>
      <c r="C14" s="46"/>
      <c r="D14" s="46"/>
      <c r="E14" s="46"/>
      <c r="F14" s="46"/>
      <c r="G14" s="46"/>
      <c r="H14" s="46">
        <v>7</v>
      </c>
      <c r="I14" s="46">
        <v>12</v>
      </c>
      <c r="J14" s="46"/>
      <c r="K14" s="47"/>
    </row>
    <row r="15" spans="1:11" x14ac:dyDescent="0.35">
      <c r="A15" s="39">
        <v>45940</v>
      </c>
      <c r="B15" s="46"/>
      <c r="C15" s="46"/>
      <c r="D15" s="46"/>
      <c r="E15" s="46"/>
      <c r="F15" s="46"/>
      <c r="G15" s="46"/>
      <c r="H15" s="46">
        <v>25</v>
      </c>
      <c r="I15" s="46">
        <v>35</v>
      </c>
      <c r="J15" s="46"/>
      <c r="K15" s="47"/>
    </row>
    <row r="16" spans="1:11" x14ac:dyDescent="0.35">
      <c r="A16" s="39">
        <v>45941</v>
      </c>
      <c r="B16" s="46"/>
      <c r="C16" s="46"/>
      <c r="D16" s="46"/>
      <c r="E16" s="46"/>
      <c r="F16" s="46"/>
      <c r="G16" s="46"/>
      <c r="H16" s="46">
        <v>36</v>
      </c>
      <c r="I16" s="46">
        <v>29</v>
      </c>
      <c r="J16" s="46"/>
      <c r="K16" s="47"/>
    </row>
    <row r="17" spans="1:11" x14ac:dyDescent="0.35">
      <c r="A17" s="39">
        <v>45943</v>
      </c>
      <c r="B17" s="46"/>
      <c r="C17" s="46"/>
      <c r="D17" s="46"/>
      <c r="E17" s="46"/>
      <c r="F17" s="46"/>
      <c r="G17" s="46"/>
      <c r="H17" s="46">
        <v>34</v>
      </c>
      <c r="I17" s="46">
        <v>62</v>
      </c>
      <c r="J17" s="46"/>
      <c r="K17" s="47"/>
    </row>
    <row r="18" spans="1:11" x14ac:dyDescent="0.35">
      <c r="A18" s="39">
        <v>45944</v>
      </c>
      <c r="B18" s="46"/>
      <c r="C18" s="46"/>
      <c r="D18" s="46"/>
      <c r="E18" s="46"/>
      <c r="F18" s="46"/>
      <c r="G18" s="46"/>
      <c r="H18" s="46">
        <v>51</v>
      </c>
      <c r="I18" s="46">
        <v>79</v>
      </c>
      <c r="J18" s="46"/>
      <c r="K18" s="47"/>
    </row>
    <row r="19" spans="1:11" x14ac:dyDescent="0.35">
      <c r="A19" s="39">
        <v>45945</v>
      </c>
      <c r="B19" s="46"/>
      <c r="C19" s="46"/>
      <c r="D19" s="46"/>
      <c r="E19" s="46"/>
      <c r="F19" s="46"/>
      <c r="G19" s="46"/>
      <c r="H19" s="46">
        <v>60</v>
      </c>
      <c r="I19" s="46">
        <v>79</v>
      </c>
      <c r="J19" s="46"/>
      <c r="K19" s="47"/>
    </row>
    <row r="20" spans="1:11" x14ac:dyDescent="0.35">
      <c r="A20" s="39">
        <v>45946</v>
      </c>
      <c r="B20" s="46"/>
      <c r="C20" s="46"/>
      <c r="D20" s="46"/>
      <c r="E20" s="46"/>
      <c r="F20" s="46"/>
      <c r="G20" s="46"/>
      <c r="H20" s="46">
        <v>46</v>
      </c>
      <c r="I20" s="46">
        <v>50</v>
      </c>
      <c r="J20" s="46"/>
      <c r="K20" s="47"/>
    </row>
    <row r="21" spans="1:11" x14ac:dyDescent="0.35">
      <c r="A21" s="39">
        <v>45947</v>
      </c>
      <c r="B21" s="46"/>
      <c r="C21" s="46"/>
      <c r="D21" s="46"/>
      <c r="E21" s="46"/>
      <c r="F21" s="46"/>
      <c r="G21" s="46"/>
      <c r="H21" s="46">
        <v>37</v>
      </c>
      <c r="I21" s="46">
        <v>79</v>
      </c>
      <c r="J21" s="46"/>
      <c r="K21" s="47"/>
    </row>
    <row r="22" spans="1:11" x14ac:dyDescent="0.35">
      <c r="A22" s="39">
        <v>45948</v>
      </c>
      <c r="B22" s="46"/>
      <c r="C22" s="46"/>
      <c r="D22" s="46"/>
      <c r="E22" s="46"/>
      <c r="F22" s="46"/>
      <c r="G22" s="46"/>
      <c r="H22" s="46">
        <v>111</v>
      </c>
      <c r="I22" s="46">
        <v>113</v>
      </c>
      <c r="J22" s="46"/>
      <c r="K22" s="47"/>
    </row>
    <row r="23" spans="1:11" x14ac:dyDescent="0.35">
      <c r="A23" s="39">
        <v>45950</v>
      </c>
      <c r="B23" s="46"/>
      <c r="C23" s="46"/>
      <c r="D23" s="46"/>
      <c r="E23" s="46"/>
      <c r="F23" s="46"/>
      <c r="G23" s="46"/>
      <c r="H23" s="46">
        <v>123</v>
      </c>
      <c r="I23" s="46">
        <v>120</v>
      </c>
      <c r="J23" s="46"/>
      <c r="K23" s="47"/>
    </row>
    <row r="24" spans="1:11" x14ac:dyDescent="0.35">
      <c r="A24" s="39">
        <v>45951</v>
      </c>
      <c r="B24" s="46"/>
      <c r="C24" s="46"/>
      <c r="D24" s="46"/>
      <c r="E24" s="46"/>
      <c r="F24" s="46"/>
      <c r="G24" s="46"/>
      <c r="H24" s="46">
        <v>114</v>
      </c>
      <c r="I24" s="46">
        <v>148</v>
      </c>
      <c r="J24" s="46"/>
      <c r="K24" s="47"/>
    </row>
    <row r="25" spans="1:11" x14ac:dyDescent="0.35">
      <c r="A25" s="39">
        <v>45952</v>
      </c>
      <c r="B25" s="46"/>
      <c r="C25" s="46"/>
      <c r="D25" s="46"/>
      <c r="E25" s="46"/>
      <c r="F25" s="46"/>
      <c r="G25" s="46"/>
      <c r="H25" s="46">
        <v>90</v>
      </c>
      <c r="I25" s="46">
        <v>117</v>
      </c>
      <c r="J25" s="46"/>
      <c r="K25" s="47"/>
    </row>
    <row r="26" spans="1:11" x14ac:dyDescent="0.35">
      <c r="A26" s="39">
        <v>45953</v>
      </c>
      <c r="B26" s="46"/>
      <c r="C26" s="46"/>
      <c r="D26" s="46"/>
      <c r="E26" s="46"/>
      <c r="F26" s="46"/>
      <c r="G26" s="46"/>
      <c r="H26" s="46">
        <v>117</v>
      </c>
      <c r="I26" s="46">
        <v>117</v>
      </c>
      <c r="J26" s="46"/>
      <c r="K26" s="47"/>
    </row>
    <row r="27" spans="1:11" x14ac:dyDescent="0.35">
      <c r="A27" s="39">
        <v>45954</v>
      </c>
      <c r="B27" s="46"/>
      <c r="C27" s="46"/>
      <c r="D27" s="46"/>
      <c r="E27" s="46"/>
      <c r="F27" s="46"/>
      <c r="G27" s="46"/>
      <c r="H27" s="46">
        <v>99</v>
      </c>
      <c r="I27" s="46">
        <v>91</v>
      </c>
      <c r="J27" s="46"/>
      <c r="K27" s="47"/>
    </row>
    <row r="28" spans="1:11" x14ac:dyDescent="0.35">
      <c r="A28" s="39">
        <v>45955</v>
      </c>
      <c r="B28" s="46"/>
      <c r="C28" s="46"/>
      <c r="D28" s="46"/>
      <c r="E28" s="46"/>
      <c r="F28" s="46"/>
      <c r="G28" s="46"/>
      <c r="H28" s="46">
        <v>66</v>
      </c>
      <c r="I28" s="46">
        <v>63</v>
      </c>
      <c r="J28" s="46"/>
      <c r="K28" s="47"/>
    </row>
    <row r="29" spans="1:11" x14ac:dyDescent="0.35">
      <c r="A29" s="39">
        <v>45957</v>
      </c>
      <c r="B29" s="46"/>
      <c r="C29" s="46"/>
      <c r="D29" s="46"/>
      <c r="E29" s="46"/>
      <c r="F29" s="46"/>
      <c r="G29" s="46"/>
      <c r="H29" s="46">
        <v>115</v>
      </c>
      <c r="I29" s="46">
        <v>109</v>
      </c>
      <c r="J29" s="46"/>
      <c r="K29" s="47"/>
    </row>
    <row r="30" spans="1:11" x14ac:dyDescent="0.35">
      <c r="A30" s="39">
        <v>45958</v>
      </c>
      <c r="B30" s="46"/>
      <c r="C30" s="46"/>
      <c r="D30" s="46"/>
      <c r="E30" s="46"/>
      <c r="F30" s="46"/>
      <c r="G30" s="46"/>
      <c r="H30" s="46">
        <v>90</v>
      </c>
      <c r="I30" s="46">
        <v>117</v>
      </c>
      <c r="J30" s="46"/>
      <c r="K30" s="47"/>
    </row>
    <row r="31" spans="1:11" x14ac:dyDescent="0.35">
      <c r="A31" s="39">
        <v>45960</v>
      </c>
      <c r="B31" s="46"/>
      <c r="C31" s="46"/>
      <c r="D31" s="46"/>
      <c r="E31" s="46"/>
      <c r="F31" s="46"/>
      <c r="G31" s="46"/>
      <c r="H31" s="46">
        <v>46</v>
      </c>
      <c r="I31" s="46">
        <v>67</v>
      </c>
      <c r="J31" s="46"/>
      <c r="K31" s="47"/>
    </row>
    <row r="32" spans="1:11" x14ac:dyDescent="0.35">
      <c r="A32" s="39">
        <v>45961</v>
      </c>
      <c r="B32" s="46"/>
      <c r="C32" s="46"/>
      <c r="D32" s="46"/>
      <c r="E32" s="46"/>
      <c r="F32" s="46"/>
      <c r="G32" s="46"/>
      <c r="H32" s="46">
        <v>88</v>
      </c>
      <c r="I32" s="46">
        <v>106</v>
      </c>
      <c r="J32" s="46"/>
      <c r="K32" s="47"/>
    </row>
    <row r="33" spans="1:11" x14ac:dyDescent="0.35">
      <c r="A33" s="39">
        <v>45962</v>
      </c>
      <c r="B33" s="46"/>
      <c r="C33" s="46"/>
      <c r="D33" s="46"/>
      <c r="E33" s="46"/>
      <c r="F33" s="46"/>
      <c r="G33" s="46"/>
      <c r="H33" s="46">
        <v>124</v>
      </c>
      <c r="I33" s="46">
        <v>111</v>
      </c>
      <c r="J33" s="46"/>
      <c r="K33" s="47"/>
    </row>
    <row r="34" spans="1:11" x14ac:dyDescent="0.35">
      <c r="A34" s="39">
        <v>45964</v>
      </c>
      <c r="B34" s="46"/>
      <c r="C34" s="46"/>
      <c r="D34" s="46"/>
      <c r="E34" s="46"/>
      <c r="F34" s="46"/>
      <c r="G34" s="46"/>
      <c r="H34" s="46">
        <v>110</v>
      </c>
      <c r="I34" s="46">
        <v>116</v>
      </c>
      <c r="J34" s="46"/>
      <c r="K34" s="47"/>
    </row>
    <row r="35" spans="1:11" x14ac:dyDescent="0.35">
      <c r="A35" s="39">
        <v>45965</v>
      </c>
      <c r="B35" s="46"/>
      <c r="C35" s="46"/>
      <c r="D35" s="46"/>
      <c r="E35" s="46"/>
      <c r="F35" s="46"/>
      <c r="G35" s="46"/>
      <c r="H35" s="46">
        <v>103</v>
      </c>
      <c r="I35" s="46">
        <v>141</v>
      </c>
      <c r="J35" s="46"/>
      <c r="K35" s="47"/>
    </row>
    <row r="36" spans="1:11" x14ac:dyDescent="0.35">
      <c r="A36" s="39">
        <v>45966</v>
      </c>
      <c r="B36" s="46"/>
      <c r="C36" s="46"/>
      <c r="D36" s="46"/>
      <c r="E36" s="46"/>
      <c r="F36" s="46"/>
      <c r="G36" s="46"/>
      <c r="H36" s="46">
        <v>98</v>
      </c>
      <c r="I36" s="46">
        <v>157</v>
      </c>
      <c r="J36" s="46"/>
      <c r="K36" s="47"/>
    </row>
    <row r="37" spans="1:11" x14ac:dyDescent="0.35">
      <c r="A37" s="39">
        <v>45967</v>
      </c>
      <c r="B37" s="46"/>
      <c r="C37" s="46"/>
      <c r="D37" s="46"/>
      <c r="E37" s="46"/>
      <c r="F37" s="46"/>
      <c r="G37" s="46"/>
      <c r="H37" s="46">
        <v>77</v>
      </c>
      <c r="I37" s="46">
        <v>151</v>
      </c>
      <c r="J37" s="46"/>
      <c r="K37" s="47"/>
    </row>
    <row r="38" spans="1:11" x14ac:dyDescent="0.35">
      <c r="A38" s="39">
        <v>45968</v>
      </c>
      <c r="B38" s="46"/>
      <c r="C38" s="46"/>
      <c r="D38" s="46"/>
      <c r="E38" s="46"/>
      <c r="F38" s="46"/>
      <c r="G38" s="46"/>
      <c r="H38" s="46">
        <v>111</v>
      </c>
      <c r="I38" s="46">
        <v>136</v>
      </c>
      <c r="J38" s="46"/>
      <c r="K38" s="47"/>
    </row>
    <row r="39" spans="1:11" x14ac:dyDescent="0.35">
      <c r="A39" s="39">
        <v>45969</v>
      </c>
      <c r="B39" s="46"/>
      <c r="C39" s="46"/>
      <c r="D39" s="46"/>
      <c r="E39" s="46"/>
      <c r="F39" s="46"/>
      <c r="G39" s="46"/>
      <c r="H39" s="46">
        <v>56</v>
      </c>
      <c r="I39" s="46">
        <v>73</v>
      </c>
      <c r="J39" s="46"/>
      <c r="K39" s="47"/>
    </row>
    <row r="40" spans="1:11" x14ac:dyDescent="0.35">
      <c r="A40" s="39">
        <v>45971</v>
      </c>
      <c r="B40" s="46"/>
      <c r="C40" s="46"/>
      <c r="D40" s="46"/>
      <c r="E40" s="46"/>
      <c r="F40" s="46"/>
      <c r="G40" s="46"/>
      <c r="H40" s="46">
        <v>183</v>
      </c>
      <c r="I40" s="46">
        <v>152</v>
      </c>
      <c r="J40" s="46"/>
      <c r="K40" s="47"/>
    </row>
    <row r="41" spans="1:11" x14ac:dyDescent="0.35">
      <c r="A41" s="39">
        <v>45972</v>
      </c>
      <c r="B41" s="46"/>
      <c r="C41" s="46"/>
      <c r="D41" s="46"/>
      <c r="E41" s="46"/>
      <c r="F41" s="46"/>
      <c r="G41" s="46"/>
      <c r="H41" s="46">
        <v>80</v>
      </c>
      <c r="I41" s="46">
        <v>58</v>
      </c>
      <c r="J41" s="46"/>
      <c r="K41" s="47"/>
    </row>
    <row r="42" spans="1:11" x14ac:dyDescent="0.35">
      <c r="A42" s="39">
        <v>45973</v>
      </c>
      <c r="B42" s="46"/>
      <c r="C42" s="46"/>
      <c r="D42" s="46"/>
      <c r="E42" s="46"/>
      <c r="F42" s="46"/>
      <c r="G42" s="46"/>
      <c r="H42" s="46">
        <v>107</v>
      </c>
      <c r="I42" s="46">
        <v>126</v>
      </c>
      <c r="J42" s="46"/>
      <c r="K42" s="47"/>
    </row>
    <row r="43" spans="1:11" x14ac:dyDescent="0.35">
      <c r="A43" s="39">
        <v>45974</v>
      </c>
      <c r="B43" s="46"/>
      <c r="C43" s="46"/>
      <c r="D43" s="46"/>
      <c r="E43" s="46"/>
      <c r="F43" s="46"/>
      <c r="G43" s="46"/>
      <c r="H43" s="46">
        <v>92</v>
      </c>
      <c r="I43" s="46">
        <v>130</v>
      </c>
      <c r="J43" s="46"/>
      <c r="K43" s="47"/>
    </row>
    <row r="44" spans="1:11" x14ac:dyDescent="0.35">
      <c r="A44" s="39">
        <v>45975</v>
      </c>
      <c r="B44" s="46"/>
      <c r="C44" s="46"/>
      <c r="D44" s="46"/>
      <c r="E44" s="46"/>
      <c r="F44" s="46"/>
      <c r="G44" s="46"/>
      <c r="H44" s="46">
        <v>114</v>
      </c>
      <c r="I44" s="46">
        <v>129</v>
      </c>
      <c r="J44" s="46"/>
      <c r="K44" s="47"/>
    </row>
    <row r="45" spans="1:11" x14ac:dyDescent="0.35">
      <c r="A45" s="39">
        <v>45976</v>
      </c>
      <c r="B45" s="46"/>
      <c r="C45" s="46"/>
      <c r="D45" s="46"/>
      <c r="E45" s="46"/>
      <c r="F45" s="46"/>
      <c r="G45" s="46"/>
      <c r="H45" s="46">
        <v>104</v>
      </c>
      <c r="I45" s="46">
        <v>69</v>
      </c>
      <c r="J45" s="46"/>
      <c r="K45" s="47"/>
    </row>
    <row r="46" spans="1:11" x14ac:dyDescent="0.35">
      <c r="A46" s="39">
        <v>45978</v>
      </c>
      <c r="B46" s="46"/>
      <c r="C46" s="46"/>
      <c r="D46" s="46"/>
      <c r="E46" s="46"/>
      <c r="F46" s="46"/>
      <c r="G46" s="46"/>
      <c r="H46" s="46">
        <v>30</v>
      </c>
      <c r="I46" s="46">
        <v>228</v>
      </c>
      <c r="J46" s="46"/>
      <c r="K46" s="47"/>
    </row>
    <row r="47" spans="1:11" x14ac:dyDescent="0.35">
      <c r="A47" s="39">
        <v>45979</v>
      </c>
      <c r="B47" s="46"/>
      <c r="C47" s="46"/>
      <c r="D47" s="46"/>
      <c r="E47" s="46"/>
      <c r="F47" s="46"/>
      <c r="G47" s="46"/>
      <c r="H47" s="46">
        <v>141</v>
      </c>
      <c r="I47" s="46">
        <v>151</v>
      </c>
      <c r="J47" s="46"/>
      <c r="K47" s="47"/>
    </row>
    <row r="48" spans="1:11" x14ac:dyDescent="0.35">
      <c r="A48" s="39">
        <v>45980</v>
      </c>
      <c r="B48" s="46"/>
      <c r="C48" s="46"/>
      <c r="D48" s="46"/>
      <c r="E48" s="46"/>
      <c r="F48" s="46"/>
      <c r="G48" s="46"/>
      <c r="H48" s="46">
        <v>62</v>
      </c>
      <c r="I48" s="46">
        <v>65</v>
      </c>
      <c r="J48" s="46"/>
      <c r="K48" s="47"/>
    </row>
    <row r="49" spans="1:11" x14ac:dyDescent="0.35">
      <c r="A49" s="39">
        <v>45981</v>
      </c>
      <c r="B49" s="46"/>
      <c r="C49" s="46"/>
      <c r="D49" s="46"/>
      <c r="E49" s="46"/>
      <c r="F49" s="46"/>
      <c r="G49" s="46"/>
      <c r="H49" s="46">
        <v>146</v>
      </c>
      <c r="I49" s="46">
        <v>122</v>
      </c>
      <c r="J49" s="46"/>
      <c r="K49" s="47"/>
    </row>
    <row r="50" spans="1:11" x14ac:dyDescent="0.35">
      <c r="A50" s="39">
        <v>45982</v>
      </c>
      <c r="B50" s="46"/>
      <c r="C50" s="46"/>
      <c r="D50" s="46"/>
      <c r="E50" s="46"/>
      <c r="F50" s="46"/>
      <c r="G50" s="46"/>
      <c r="H50" s="46">
        <v>124</v>
      </c>
      <c r="I50" s="46">
        <v>127</v>
      </c>
      <c r="J50" s="46"/>
      <c r="K50" s="47"/>
    </row>
    <row r="51" spans="1:11" x14ac:dyDescent="0.35">
      <c r="A51" s="39">
        <v>45983</v>
      </c>
      <c r="B51" s="46"/>
      <c r="C51" s="46"/>
      <c r="D51" s="46"/>
      <c r="E51" s="46"/>
      <c r="F51" s="46"/>
      <c r="G51" s="46"/>
      <c r="H51" s="46">
        <v>127</v>
      </c>
      <c r="I51" s="46">
        <v>133</v>
      </c>
      <c r="J51" s="46"/>
      <c r="K51" s="47"/>
    </row>
    <row r="52" spans="1:11" x14ac:dyDescent="0.35">
      <c r="A52" s="39">
        <v>45985</v>
      </c>
      <c r="B52" s="46"/>
      <c r="C52" s="46"/>
      <c r="D52" s="46"/>
      <c r="E52" s="46"/>
      <c r="F52" s="46"/>
      <c r="G52" s="46"/>
      <c r="H52" s="46">
        <v>29</v>
      </c>
      <c r="I52" s="46">
        <v>51</v>
      </c>
      <c r="J52" s="46"/>
      <c r="K52" s="47"/>
    </row>
    <row r="53" spans="1:11" x14ac:dyDescent="0.35">
      <c r="A53" s="39">
        <v>45986</v>
      </c>
      <c r="B53" s="46"/>
      <c r="C53" s="46"/>
      <c r="D53" s="46"/>
      <c r="E53" s="46"/>
      <c r="F53" s="46"/>
      <c r="G53" s="46"/>
      <c r="H53" s="46">
        <v>44</v>
      </c>
      <c r="I53" s="46">
        <v>59</v>
      </c>
      <c r="J53" s="46"/>
      <c r="K53" s="47"/>
    </row>
    <row r="54" spans="1:11" x14ac:dyDescent="0.35">
      <c r="A54" s="39">
        <v>45987</v>
      </c>
      <c r="B54" s="46"/>
      <c r="C54" s="46"/>
      <c r="D54" s="46"/>
      <c r="E54" s="46"/>
      <c r="F54" s="46"/>
      <c r="G54" s="46"/>
      <c r="H54" s="46">
        <v>70</v>
      </c>
      <c r="I54" s="46">
        <v>93</v>
      </c>
      <c r="J54" s="46"/>
      <c r="K54" s="47"/>
    </row>
    <row r="55" spans="1:11" x14ac:dyDescent="0.35">
      <c r="A55" s="39">
        <v>45988</v>
      </c>
      <c r="B55" s="46"/>
      <c r="C55" s="46"/>
      <c r="D55" s="46"/>
      <c r="E55" s="46"/>
      <c r="F55" s="46"/>
      <c r="G55" s="46"/>
      <c r="H55" s="46">
        <v>47</v>
      </c>
      <c r="I55" s="46">
        <v>47</v>
      </c>
      <c r="J55" s="46"/>
      <c r="K55" s="47"/>
    </row>
    <row r="56" spans="1:11" x14ac:dyDescent="0.35">
      <c r="A56" s="39">
        <v>45989</v>
      </c>
      <c r="B56" s="46"/>
      <c r="C56" s="46"/>
      <c r="D56" s="46"/>
      <c r="E56" s="46"/>
      <c r="F56" s="46"/>
      <c r="G56" s="46"/>
      <c r="H56" s="46">
        <v>90</v>
      </c>
      <c r="I56" s="46">
        <v>105</v>
      </c>
      <c r="J56" s="46"/>
      <c r="K56" s="47"/>
    </row>
    <row r="57" spans="1:11" x14ac:dyDescent="0.35">
      <c r="A57" s="39">
        <v>45990</v>
      </c>
      <c r="B57" s="46"/>
      <c r="C57" s="46"/>
      <c r="D57" s="46"/>
      <c r="E57" s="46"/>
      <c r="F57" s="46"/>
      <c r="G57" s="46"/>
      <c r="H57" s="46">
        <v>105</v>
      </c>
      <c r="I57" s="46">
        <v>67</v>
      </c>
      <c r="J57" s="46"/>
      <c r="K57" s="47"/>
    </row>
    <row r="58" spans="1:11" x14ac:dyDescent="0.35">
      <c r="A58" s="39">
        <v>45992</v>
      </c>
      <c r="B58" s="46">
        <v>25</v>
      </c>
      <c r="C58" s="46">
        <v>3</v>
      </c>
      <c r="D58" s="46">
        <v>1</v>
      </c>
      <c r="E58" s="46">
        <v>11</v>
      </c>
      <c r="F58" s="46">
        <v>1</v>
      </c>
      <c r="G58" s="46">
        <v>32</v>
      </c>
      <c r="H58" s="46">
        <v>35</v>
      </c>
      <c r="I58" s="46">
        <v>68</v>
      </c>
      <c r="J58" s="46"/>
      <c r="K58" s="47"/>
    </row>
    <row r="59" spans="1:11" x14ac:dyDescent="0.35">
      <c r="A59" s="39">
        <v>45993</v>
      </c>
      <c r="B59" s="46">
        <v>27</v>
      </c>
      <c r="C59" s="46">
        <v>4</v>
      </c>
      <c r="D59" s="46"/>
      <c r="E59" s="46">
        <v>9</v>
      </c>
      <c r="F59" s="46">
        <v>7</v>
      </c>
      <c r="G59" s="46">
        <v>30</v>
      </c>
      <c r="H59" s="46">
        <v>73</v>
      </c>
      <c r="I59" s="46">
        <v>81</v>
      </c>
      <c r="J59" s="46"/>
      <c r="K59" s="47"/>
    </row>
    <row r="60" spans="1:11" x14ac:dyDescent="0.35">
      <c r="A60" s="39">
        <v>45994</v>
      </c>
      <c r="B60" s="46">
        <v>13</v>
      </c>
      <c r="C60" s="46">
        <v>4</v>
      </c>
      <c r="D60" s="46"/>
      <c r="E60" s="46">
        <v>10</v>
      </c>
      <c r="F60" s="46">
        <v>4</v>
      </c>
      <c r="G60" s="46">
        <v>23</v>
      </c>
      <c r="H60" s="46">
        <v>61</v>
      </c>
      <c r="I60" s="46">
        <v>104</v>
      </c>
      <c r="J60" s="46"/>
      <c r="K60" s="47"/>
    </row>
    <row r="61" spans="1:11" x14ac:dyDescent="0.35">
      <c r="A61" s="39">
        <v>45995</v>
      </c>
      <c r="B61" s="46">
        <v>18</v>
      </c>
      <c r="C61" s="46">
        <v>2</v>
      </c>
      <c r="D61" s="46">
        <v>1</v>
      </c>
      <c r="E61" s="46">
        <v>6</v>
      </c>
      <c r="F61" s="46">
        <v>8</v>
      </c>
      <c r="G61" s="46">
        <v>26</v>
      </c>
      <c r="H61" s="46">
        <v>45</v>
      </c>
      <c r="I61" s="46">
        <v>61</v>
      </c>
      <c r="J61" s="46"/>
      <c r="K61" s="47"/>
    </row>
    <row r="62" spans="1:11" x14ac:dyDescent="0.35">
      <c r="A62" s="39">
        <v>45996</v>
      </c>
      <c r="B62" s="46">
        <v>11</v>
      </c>
      <c r="C62" s="46">
        <v>1</v>
      </c>
      <c r="D62" s="46">
        <v>2</v>
      </c>
      <c r="E62" s="46">
        <v>3</v>
      </c>
      <c r="F62" s="46">
        <v>4</v>
      </c>
      <c r="G62" s="46">
        <v>11</v>
      </c>
      <c r="H62" s="46">
        <v>126</v>
      </c>
      <c r="I62" s="46">
        <v>118</v>
      </c>
      <c r="J62" s="46"/>
      <c r="K62" s="47"/>
    </row>
    <row r="63" spans="1:11" x14ac:dyDescent="0.35">
      <c r="A63" s="39">
        <v>45997</v>
      </c>
      <c r="B63" s="46">
        <v>8</v>
      </c>
      <c r="C63" s="46">
        <v>1</v>
      </c>
      <c r="D63" s="46">
        <v>2</v>
      </c>
      <c r="E63" s="46">
        <v>3</v>
      </c>
      <c r="F63" s="46">
        <v>9</v>
      </c>
      <c r="G63" s="46">
        <v>21</v>
      </c>
      <c r="H63" s="46">
        <v>87</v>
      </c>
      <c r="I63" s="46">
        <v>126</v>
      </c>
      <c r="J63" s="46"/>
      <c r="K63" s="47"/>
    </row>
    <row r="64" spans="1:11" x14ac:dyDescent="0.35">
      <c r="A64" s="39">
        <v>45999</v>
      </c>
      <c r="B64" s="46">
        <v>17</v>
      </c>
      <c r="C64" s="46">
        <v>7</v>
      </c>
      <c r="D64" s="46"/>
      <c r="E64" s="46">
        <v>7</v>
      </c>
      <c r="F64" s="46">
        <v>4</v>
      </c>
      <c r="G64" s="46">
        <v>29</v>
      </c>
      <c r="H64" s="46">
        <v>76</v>
      </c>
      <c r="I64" s="46">
        <v>108</v>
      </c>
      <c r="J64" s="46"/>
      <c r="K64" s="47"/>
    </row>
    <row r="65" spans="1:11" x14ac:dyDescent="0.35">
      <c r="A65" s="39">
        <v>46000</v>
      </c>
      <c r="B65" s="46">
        <v>18</v>
      </c>
      <c r="C65" s="46"/>
      <c r="D65" s="46"/>
      <c r="E65" s="46">
        <v>8</v>
      </c>
      <c r="F65" s="46"/>
      <c r="G65" s="46">
        <v>15</v>
      </c>
      <c r="H65" s="46">
        <v>48</v>
      </c>
      <c r="I65" s="46">
        <v>77</v>
      </c>
      <c r="J65" s="46"/>
      <c r="K65" s="47"/>
    </row>
    <row r="66" spans="1:11" x14ac:dyDescent="0.35">
      <c r="A66" s="39">
        <v>46001</v>
      </c>
      <c r="B66" s="46">
        <v>15</v>
      </c>
      <c r="C66" s="46">
        <v>2</v>
      </c>
      <c r="D66" s="46"/>
      <c r="E66" s="46">
        <v>9</v>
      </c>
      <c r="F66" s="46">
        <v>4</v>
      </c>
      <c r="G66" s="46">
        <v>31</v>
      </c>
      <c r="H66" s="46">
        <v>107</v>
      </c>
      <c r="I66" s="46">
        <v>122</v>
      </c>
      <c r="J66" s="46"/>
      <c r="K66" s="47"/>
    </row>
    <row r="67" spans="1:11" x14ac:dyDescent="0.35">
      <c r="A67" s="39">
        <v>46002</v>
      </c>
      <c r="B67" s="46">
        <v>25</v>
      </c>
      <c r="C67" s="46">
        <v>2</v>
      </c>
      <c r="D67" s="46"/>
      <c r="E67" s="46">
        <v>18</v>
      </c>
      <c r="F67" s="46">
        <v>4</v>
      </c>
      <c r="G67" s="46">
        <v>39</v>
      </c>
      <c r="H67" s="46">
        <v>97</v>
      </c>
      <c r="I67" s="46">
        <v>85</v>
      </c>
      <c r="J67" s="46"/>
      <c r="K67" s="47"/>
    </row>
    <row r="68" spans="1:11" x14ac:dyDescent="0.35">
      <c r="A68" s="39">
        <v>46003</v>
      </c>
      <c r="B68" s="46">
        <v>16</v>
      </c>
      <c r="C68" s="46">
        <v>6</v>
      </c>
      <c r="D68" s="46">
        <v>1</v>
      </c>
      <c r="E68" s="46">
        <v>3</v>
      </c>
      <c r="F68" s="46">
        <v>4</v>
      </c>
      <c r="G68" s="46">
        <v>28</v>
      </c>
      <c r="H68" s="46">
        <v>34</v>
      </c>
      <c r="I68" s="46">
        <v>57</v>
      </c>
      <c r="J68" s="46"/>
      <c r="K68" s="47"/>
    </row>
    <row r="69" spans="1:11" x14ac:dyDescent="0.35">
      <c r="A69" s="39">
        <v>46004</v>
      </c>
      <c r="B69" s="46">
        <v>10</v>
      </c>
      <c r="C69" s="46">
        <v>4</v>
      </c>
      <c r="D69" s="46">
        <v>1</v>
      </c>
      <c r="E69" s="46">
        <v>6</v>
      </c>
      <c r="F69" s="46">
        <v>2</v>
      </c>
      <c r="G69" s="46">
        <v>9</v>
      </c>
      <c r="H69" s="46">
        <v>52</v>
      </c>
      <c r="I69" s="46">
        <v>27</v>
      </c>
      <c r="J69" s="46"/>
      <c r="K69" s="47"/>
    </row>
    <row r="70" spans="1:11" x14ac:dyDescent="0.35">
      <c r="A70" s="39">
        <v>46006</v>
      </c>
      <c r="B70" s="46">
        <v>24</v>
      </c>
      <c r="C70" s="46">
        <v>2</v>
      </c>
      <c r="D70" s="46"/>
      <c r="E70" s="46">
        <v>8</v>
      </c>
      <c r="F70" s="46">
        <v>6</v>
      </c>
      <c r="G70" s="46">
        <v>42</v>
      </c>
      <c r="H70" s="46">
        <v>47</v>
      </c>
      <c r="I70" s="46">
        <v>62</v>
      </c>
      <c r="J70" s="46"/>
      <c r="K70" s="47"/>
    </row>
    <row r="71" spans="1:11" x14ac:dyDescent="0.35">
      <c r="A71" s="39">
        <v>46007</v>
      </c>
      <c r="B71" s="46">
        <v>16</v>
      </c>
      <c r="C71" s="46">
        <v>4</v>
      </c>
      <c r="D71" s="46"/>
      <c r="E71" s="46">
        <v>2</v>
      </c>
      <c r="F71" s="46">
        <v>6</v>
      </c>
      <c r="G71" s="46">
        <v>28</v>
      </c>
      <c r="H71" s="46">
        <v>55</v>
      </c>
      <c r="I71" s="46">
        <v>82</v>
      </c>
      <c r="J71" s="46"/>
      <c r="K71" s="47"/>
    </row>
    <row r="72" spans="1:11" x14ac:dyDescent="0.35">
      <c r="A72" s="39">
        <v>46008</v>
      </c>
      <c r="B72" s="46">
        <v>20</v>
      </c>
      <c r="C72" s="46">
        <v>3</v>
      </c>
      <c r="D72" s="46"/>
      <c r="E72" s="46">
        <v>7</v>
      </c>
      <c r="F72" s="46">
        <v>1</v>
      </c>
      <c r="G72" s="46">
        <v>34</v>
      </c>
      <c r="H72" s="46">
        <v>18</v>
      </c>
      <c r="I72" s="46">
        <v>23</v>
      </c>
      <c r="J72" s="46"/>
      <c r="K72" s="47"/>
    </row>
    <row r="73" spans="1:11" x14ac:dyDescent="0.35">
      <c r="A73" s="39">
        <v>46009</v>
      </c>
      <c r="B73" s="46">
        <v>21</v>
      </c>
      <c r="C73" s="46">
        <v>4</v>
      </c>
      <c r="D73" s="46"/>
      <c r="E73" s="46">
        <v>19</v>
      </c>
      <c r="F73" s="46">
        <v>4</v>
      </c>
      <c r="G73" s="46">
        <v>40</v>
      </c>
      <c r="H73" s="46">
        <v>56</v>
      </c>
      <c r="I73" s="46">
        <v>60</v>
      </c>
      <c r="J73" s="46"/>
      <c r="K73" s="47"/>
    </row>
    <row r="74" spans="1:11" x14ac:dyDescent="0.35">
      <c r="A74" s="39">
        <v>46010</v>
      </c>
      <c r="B74" s="46">
        <v>24</v>
      </c>
      <c r="C74" s="46">
        <v>2</v>
      </c>
      <c r="D74" s="46">
        <v>1</v>
      </c>
      <c r="E74" s="46">
        <v>12</v>
      </c>
      <c r="F74" s="46">
        <v>3</v>
      </c>
      <c r="G74" s="46">
        <v>30</v>
      </c>
      <c r="H74" s="46">
        <v>71</v>
      </c>
      <c r="I74" s="46">
        <v>118</v>
      </c>
      <c r="J74" s="46"/>
      <c r="K74" s="47"/>
    </row>
    <row r="75" spans="1:11" x14ac:dyDescent="0.35">
      <c r="A75" s="39">
        <v>46011</v>
      </c>
      <c r="B75" s="46">
        <v>7</v>
      </c>
      <c r="C75" s="46">
        <v>3</v>
      </c>
      <c r="D75" s="46">
        <v>1</v>
      </c>
      <c r="E75" s="46"/>
      <c r="F75" s="46">
        <v>4</v>
      </c>
      <c r="G75" s="46">
        <v>24</v>
      </c>
      <c r="H75" s="46">
        <v>76</v>
      </c>
      <c r="I75" s="46">
        <v>56</v>
      </c>
      <c r="J75" s="46"/>
      <c r="K75" s="47"/>
    </row>
    <row r="76" spans="1:11" x14ac:dyDescent="0.35">
      <c r="A76" s="39">
        <v>46013</v>
      </c>
      <c r="B76" s="46">
        <v>15</v>
      </c>
      <c r="C76" s="46">
        <v>2</v>
      </c>
      <c r="D76" s="46"/>
      <c r="E76" s="46">
        <v>13</v>
      </c>
      <c r="F76" s="46">
        <v>5</v>
      </c>
      <c r="G76" s="46">
        <v>29</v>
      </c>
      <c r="H76" s="46">
        <v>111</v>
      </c>
      <c r="I76" s="46">
        <v>92</v>
      </c>
      <c r="J76" s="46"/>
      <c r="K76" s="47"/>
    </row>
    <row r="77" spans="1:11" x14ac:dyDescent="0.35">
      <c r="A77" s="39">
        <v>46014</v>
      </c>
      <c r="B77" s="46">
        <v>5</v>
      </c>
      <c r="C77" s="46">
        <v>1</v>
      </c>
      <c r="D77" s="46">
        <v>1</v>
      </c>
      <c r="E77" s="46">
        <v>3</v>
      </c>
      <c r="F77" s="46">
        <v>2</v>
      </c>
      <c r="G77" s="46">
        <v>19</v>
      </c>
      <c r="H77" s="46">
        <v>22</v>
      </c>
      <c r="I77" s="46">
        <v>38</v>
      </c>
      <c r="J77" s="46"/>
      <c r="K77" s="47"/>
    </row>
    <row r="78" spans="1:11" x14ac:dyDescent="0.35">
      <c r="A78" s="39">
        <v>46015</v>
      </c>
      <c r="B78" s="46">
        <v>8</v>
      </c>
      <c r="C78" s="46">
        <v>4</v>
      </c>
      <c r="D78" s="46">
        <v>1</v>
      </c>
      <c r="E78" s="46">
        <v>3</v>
      </c>
      <c r="F78" s="46">
        <v>3</v>
      </c>
      <c r="G78" s="46">
        <v>14</v>
      </c>
      <c r="H78" s="46">
        <v>41</v>
      </c>
      <c r="I78" s="46">
        <v>52</v>
      </c>
      <c r="J78" s="46"/>
      <c r="K78" s="47"/>
    </row>
    <row r="79" spans="1:11" x14ac:dyDescent="0.35">
      <c r="A79" s="39">
        <v>46017</v>
      </c>
      <c r="B79" s="46">
        <v>15</v>
      </c>
      <c r="C79" s="46">
        <v>3</v>
      </c>
      <c r="D79" s="46"/>
      <c r="E79" s="46">
        <v>4</v>
      </c>
      <c r="F79" s="46">
        <v>2</v>
      </c>
      <c r="G79" s="46">
        <v>18</v>
      </c>
      <c r="H79" s="46">
        <v>72</v>
      </c>
      <c r="I79" s="46">
        <v>103</v>
      </c>
      <c r="J79" s="46"/>
      <c r="K79" s="47"/>
    </row>
    <row r="80" spans="1:11" x14ac:dyDescent="0.35">
      <c r="A80" s="39">
        <v>46018</v>
      </c>
      <c r="B80" s="46">
        <v>3</v>
      </c>
      <c r="C80" s="46">
        <v>8</v>
      </c>
      <c r="D80" s="46">
        <v>1</v>
      </c>
      <c r="E80" s="46">
        <v>4</v>
      </c>
      <c r="F80" s="46">
        <v>3</v>
      </c>
      <c r="G80" s="46">
        <v>7</v>
      </c>
      <c r="H80" s="46">
        <v>88</v>
      </c>
      <c r="I80" s="46">
        <v>87</v>
      </c>
      <c r="J80" s="46"/>
      <c r="K80" s="47"/>
    </row>
    <row r="81" spans="1:11" x14ac:dyDescent="0.35">
      <c r="A81" s="39">
        <v>46020</v>
      </c>
      <c r="B81" s="46">
        <v>16</v>
      </c>
      <c r="C81" s="46">
        <v>3</v>
      </c>
      <c r="D81" s="46"/>
      <c r="E81" s="46">
        <v>8</v>
      </c>
      <c r="F81" s="46">
        <v>7</v>
      </c>
      <c r="G81" s="46">
        <v>25</v>
      </c>
      <c r="H81" s="46">
        <v>44</v>
      </c>
      <c r="I81" s="46">
        <v>60</v>
      </c>
      <c r="J81" s="46">
        <v>5</v>
      </c>
      <c r="K81" s="47"/>
    </row>
    <row r="82" spans="1:11" x14ac:dyDescent="0.35">
      <c r="A82" s="39">
        <v>46021</v>
      </c>
      <c r="B82" s="46">
        <v>23</v>
      </c>
      <c r="C82" s="46">
        <v>2</v>
      </c>
      <c r="D82" s="46"/>
      <c r="E82" s="46">
        <v>6</v>
      </c>
      <c r="F82" s="46">
        <v>4</v>
      </c>
      <c r="G82" s="46">
        <v>30</v>
      </c>
      <c r="H82" s="46">
        <v>54</v>
      </c>
      <c r="I82" s="46">
        <v>61</v>
      </c>
      <c r="J82" s="46">
        <v>20</v>
      </c>
      <c r="K82" s="47"/>
    </row>
    <row r="83" spans="1:11" x14ac:dyDescent="0.35">
      <c r="A83" s="39">
        <v>46022</v>
      </c>
      <c r="B83" s="46">
        <v>14</v>
      </c>
      <c r="C83" s="46">
        <v>3</v>
      </c>
      <c r="D83" s="46">
        <v>3</v>
      </c>
      <c r="E83" s="46">
        <v>2</v>
      </c>
      <c r="F83" s="46">
        <v>4</v>
      </c>
      <c r="G83" s="46">
        <v>18</v>
      </c>
      <c r="H83" s="46">
        <v>77</v>
      </c>
      <c r="I83" s="46">
        <v>70</v>
      </c>
      <c r="J83" s="46">
        <v>17</v>
      </c>
      <c r="K83" s="47"/>
    </row>
    <row r="84" spans="1:11" x14ac:dyDescent="0.35">
      <c r="A84" s="39">
        <v>46024</v>
      </c>
      <c r="B84" s="46">
        <v>11</v>
      </c>
      <c r="C84" s="46">
        <v>4</v>
      </c>
      <c r="D84" s="46">
        <v>1</v>
      </c>
      <c r="E84" s="46">
        <v>6</v>
      </c>
      <c r="F84" s="46">
        <v>4</v>
      </c>
      <c r="G84" s="46">
        <v>28</v>
      </c>
      <c r="H84" s="46">
        <v>78</v>
      </c>
      <c r="I84" s="46">
        <v>94</v>
      </c>
      <c r="J84" s="46">
        <v>14</v>
      </c>
      <c r="K84" s="47"/>
    </row>
    <row r="85" spans="1:11" x14ac:dyDescent="0.35">
      <c r="A85" s="39">
        <v>46025</v>
      </c>
      <c r="B85" s="46">
        <v>3</v>
      </c>
      <c r="C85" s="46">
        <v>4</v>
      </c>
      <c r="D85" s="46">
        <v>3</v>
      </c>
      <c r="E85" s="46">
        <v>4</v>
      </c>
      <c r="F85" s="46">
        <v>2</v>
      </c>
      <c r="G85" s="46">
        <v>16</v>
      </c>
      <c r="H85" s="46">
        <v>124</v>
      </c>
      <c r="I85" s="46">
        <v>59</v>
      </c>
      <c r="J85" s="46">
        <v>8</v>
      </c>
      <c r="K85" s="47"/>
    </row>
    <row r="86" spans="1:11" x14ac:dyDescent="0.35">
      <c r="A86" s="39">
        <v>46027</v>
      </c>
      <c r="B86" s="46"/>
      <c r="C86" s="46"/>
      <c r="D86" s="46"/>
      <c r="E86" s="46"/>
      <c r="F86" s="46"/>
      <c r="G86" s="46"/>
      <c r="H86" s="46"/>
      <c r="I86" s="46"/>
      <c r="J86" s="46"/>
      <c r="K86" s="47"/>
    </row>
    <row r="87" spans="1:11" x14ac:dyDescent="0.35">
      <c r="A87" s="39"/>
      <c r="B87" s="46"/>
      <c r="C87" s="46"/>
      <c r="D87" s="46"/>
      <c r="E87" s="46"/>
      <c r="F87" s="46"/>
      <c r="G87" s="46"/>
      <c r="H87" s="46"/>
      <c r="I87" s="46"/>
      <c r="J87" s="46"/>
      <c r="K87" s="47"/>
    </row>
    <row r="88" spans="1:11" x14ac:dyDescent="0.35">
      <c r="A88" s="39"/>
      <c r="B88" s="46"/>
      <c r="C88" s="46"/>
      <c r="D88" s="46"/>
      <c r="E88" s="46"/>
      <c r="F88" s="46"/>
      <c r="G88" s="46"/>
      <c r="H88" s="46"/>
      <c r="I88" s="46"/>
      <c r="J88" s="46"/>
      <c r="K88" s="47"/>
    </row>
    <row r="89" spans="1:11" x14ac:dyDescent="0.35">
      <c r="A89" s="39"/>
      <c r="B89" s="46"/>
      <c r="C89" s="46"/>
      <c r="D89" s="46"/>
      <c r="E89" s="46"/>
      <c r="F89" s="46"/>
      <c r="G89" s="46"/>
      <c r="H89" s="46"/>
      <c r="I89" s="46"/>
      <c r="J89" s="46"/>
      <c r="K89" s="47"/>
    </row>
    <row r="90" spans="1:11" x14ac:dyDescent="0.35">
      <c r="A90" s="39"/>
      <c r="B90" s="46"/>
      <c r="C90" s="46"/>
      <c r="D90" s="46"/>
      <c r="E90" s="46"/>
      <c r="F90" s="46"/>
      <c r="G90" s="46"/>
      <c r="H90" s="46"/>
      <c r="I90" s="46"/>
      <c r="J90" s="46"/>
      <c r="K90" s="47"/>
    </row>
    <row r="91" spans="1:11" x14ac:dyDescent="0.35">
      <c r="A91" s="39"/>
      <c r="B91" s="46"/>
      <c r="C91" s="46"/>
      <c r="D91" s="46"/>
      <c r="E91" s="46"/>
      <c r="F91" s="46"/>
      <c r="G91" s="46"/>
      <c r="H91" s="46"/>
      <c r="I91" s="46"/>
      <c r="J91" s="46"/>
      <c r="K91" s="47"/>
    </row>
    <row r="92" spans="1:11" x14ac:dyDescent="0.35">
      <c r="A92" s="39"/>
      <c r="B92" s="46"/>
      <c r="C92" s="46"/>
      <c r="D92" s="46"/>
      <c r="E92" s="46"/>
      <c r="F92" s="46"/>
      <c r="G92" s="46"/>
      <c r="H92" s="46"/>
      <c r="I92" s="46"/>
      <c r="J92" s="46"/>
      <c r="K92" s="47"/>
    </row>
    <row r="93" spans="1:11" x14ac:dyDescent="0.35">
      <c r="A93" s="39"/>
      <c r="B93" s="46"/>
      <c r="C93" s="46"/>
      <c r="D93" s="46"/>
      <c r="E93" s="46"/>
      <c r="F93" s="46"/>
      <c r="G93" s="46"/>
      <c r="H93" s="46"/>
      <c r="I93" s="46"/>
      <c r="J93" s="46"/>
      <c r="K93" s="47"/>
    </row>
    <row r="94" spans="1:11" x14ac:dyDescent="0.35">
      <c r="A94" s="39"/>
      <c r="B94" s="46"/>
      <c r="C94" s="46"/>
      <c r="D94" s="46"/>
      <c r="E94" s="46"/>
      <c r="F94" s="46"/>
      <c r="G94" s="46"/>
      <c r="H94" s="46"/>
      <c r="I94" s="46"/>
      <c r="J94" s="46"/>
      <c r="K94" s="47"/>
    </row>
    <row r="95" spans="1:11" x14ac:dyDescent="0.35">
      <c r="A95" s="39"/>
      <c r="B95" s="46"/>
      <c r="C95" s="46"/>
      <c r="D95" s="46"/>
      <c r="E95" s="46"/>
      <c r="F95" s="46"/>
      <c r="G95" s="46"/>
      <c r="H95" s="46"/>
      <c r="I95" s="46"/>
      <c r="J95" s="46"/>
      <c r="K95" s="47"/>
    </row>
    <row r="96" spans="1:11" x14ac:dyDescent="0.35">
      <c r="A96" s="39"/>
      <c r="B96" s="46"/>
      <c r="C96" s="46"/>
      <c r="D96" s="46"/>
      <c r="E96" s="46"/>
      <c r="F96" s="46"/>
      <c r="G96" s="46"/>
      <c r="H96" s="46"/>
      <c r="I96" s="46"/>
      <c r="J96" s="46"/>
      <c r="K96" s="47"/>
    </row>
    <row r="97" spans="1:11" x14ac:dyDescent="0.35">
      <c r="A97" s="39"/>
      <c r="B97" s="46"/>
      <c r="C97" s="46"/>
      <c r="D97" s="46"/>
      <c r="E97" s="46"/>
      <c r="F97" s="46"/>
      <c r="G97" s="46"/>
      <c r="H97" s="46"/>
      <c r="I97" s="46"/>
      <c r="J97" s="46"/>
      <c r="K97" s="47"/>
    </row>
    <row r="98" spans="1:11" x14ac:dyDescent="0.35">
      <c r="A98" s="39"/>
      <c r="B98" s="46"/>
      <c r="C98" s="46"/>
      <c r="D98" s="46"/>
      <c r="E98" s="46"/>
      <c r="F98" s="46"/>
      <c r="G98" s="46"/>
      <c r="H98" s="46"/>
      <c r="I98" s="46"/>
      <c r="J98" s="46"/>
      <c r="K98" s="47"/>
    </row>
    <row r="99" spans="1:11" x14ac:dyDescent="0.35">
      <c r="A99" s="39"/>
      <c r="B99" s="46"/>
      <c r="C99" s="46"/>
      <c r="D99" s="46"/>
      <c r="E99" s="46"/>
      <c r="F99" s="46"/>
      <c r="G99" s="46"/>
      <c r="H99" s="46"/>
      <c r="I99" s="46"/>
      <c r="J99" s="46"/>
      <c r="K99" s="47"/>
    </row>
    <row r="100" spans="1:11" x14ac:dyDescent="0.35">
      <c r="A100" s="39"/>
      <c r="B100" s="46"/>
      <c r="C100" s="46"/>
      <c r="D100" s="46"/>
      <c r="E100" s="46"/>
      <c r="F100" s="46"/>
      <c r="G100" s="46"/>
      <c r="H100" s="46"/>
      <c r="I100" s="46"/>
      <c r="J100" s="46"/>
      <c r="K100" s="47"/>
    </row>
    <row r="101" spans="1:11" x14ac:dyDescent="0.35">
      <c r="A101" s="39"/>
      <c r="B101" s="46"/>
      <c r="C101" s="46"/>
      <c r="D101" s="46"/>
      <c r="E101" s="46"/>
      <c r="F101" s="46"/>
      <c r="G101" s="46"/>
      <c r="H101" s="46"/>
      <c r="I101" s="46"/>
      <c r="J101" s="46"/>
      <c r="K101" s="47"/>
    </row>
    <row r="102" spans="1:11" x14ac:dyDescent="0.35">
      <c r="A102" s="39"/>
      <c r="B102" s="46"/>
      <c r="C102" s="46"/>
      <c r="D102" s="46"/>
      <c r="E102" s="46"/>
      <c r="F102" s="46"/>
      <c r="G102" s="46"/>
      <c r="H102" s="46"/>
      <c r="I102" s="46"/>
      <c r="J102" s="46"/>
      <c r="K102" s="47"/>
    </row>
    <row r="103" spans="1:11" x14ac:dyDescent="0.35">
      <c r="A103" s="39"/>
      <c r="B103" s="46"/>
      <c r="C103" s="46"/>
      <c r="D103" s="46"/>
      <c r="E103" s="46"/>
      <c r="F103" s="46"/>
      <c r="G103" s="46"/>
      <c r="H103" s="46"/>
      <c r="I103" s="46"/>
      <c r="J103" s="46"/>
      <c r="K103" s="47"/>
    </row>
    <row r="104" spans="1:11" x14ac:dyDescent="0.35">
      <c r="A104" s="39"/>
      <c r="B104" s="46"/>
      <c r="C104" s="46"/>
      <c r="D104" s="46"/>
      <c r="E104" s="46"/>
      <c r="F104" s="46"/>
      <c r="G104" s="46"/>
      <c r="H104" s="46"/>
      <c r="I104" s="46"/>
      <c r="J104" s="46"/>
      <c r="K104" s="47"/>
    </row>
    <row r="105" spans="1:11" x14ac:dyDescent="0.35">
      <c r="A105" s="39"/>
      <c r="B105" s="46"/>
      <c r="C105" s="46"/>
      <c r="D105" s="46"/>
      <c r="E105" s="46"/>
      <c r="F105" s="46"/>
      <c r="G105" s="46"/>
      <c r="H105" s="46"/>
      <c r="I105" s="46"/>
      <c r="J105" s="46"/>
      <c r="K105" s="47"/>
    </row>
    <row r="106" spans="1:11" x14ac:dyDescent="0.35">
      <c r="A106" s="39"/>
      <c r="B106" s="46"/>
      <c r="C106" s="46"/>
      <c r="D106" s="46"/>
      <c r="E106" s="46"/>
      <c r="F106" s="46"/>
      <c r="G106" s="46"/>
      <c r="H106" s="46"/>
      <c r="I106" s="46"/>
      <c r="J106" s="46"/>
      <c r="K106" s="47"/>
    </row>
    <row r="107" spans="1:11" x14ac:dyDescent="0.35">
      <c r="A107" s="39"/>
      <c r="B107" s="46"/>
      <c r="C107" s="46"/>
      <c r="D107" s="46"/>
      <c r="E107" s="46"/>
      <c r="F107" s="46"/>
      <c r="G107" s="46"/>
      <c r="H107" s="46"/>
      <c r="I107" s="46"/>
      <c r="J107" s="46"/>
      <c r="K107" s="47"/>
    </row>
    <row r="108" spans="1:11" x14ac:dyDescent="0.35">
      <c r="A108" s="39"/>
      <c r="B108" s="46"/>
      <c r="C108" s="46"/>
      <c r="D108" s="46"/>
      <c r="E108" s="46"/>
      <c r="F108" s="46"/>
      <c r="G108" s="46"/>
      <c r="H108" s="46"/>
      <c r="I108" s="46"/>
      <c r="J108" s="46"/>
      <c r="K108" s="47"/>
    </row>
    <row r="109" spans="1:11" x14ac:dyDescent="0.35">
      <c r="A109" s="39"/>
      <c r="B109" s="46"/>
      <c r="C109" s="46"/>
      <c r="D109" s="46"/>
      <c r="E109" s="46"/>
      <c r="F109" s="46"/>
      <c r="G109" s="46"/>
      <c r="H109" s="46"/>
      <c r="I109" s="46"/>
      <c r="J109" s="46"/>
      <c r="K109" s="47"/>
    </row>
    <row r="110" spans="1:11" x14ac:dyDescent="0.35">
      <c r="A110" s="39"/>
      <c r="B110" s="46"/>
      <c r="C110" s="46"/>
      <c r="D110" s="46"/>
      <c r="E110" s="46"/>
      <c r="F110" s="46"/>
      <c r="G110" s="46"/>
      <c r="H110" s="46"/>
      <c r="I110" s="46"/>
      <c r="J110" s="46"/>
      <c r="K110" s="47"/>
    </row>
    <row r="111" spans="1:11" x14ac:dyDescent="0.35">
      <c r="A111" s="39"/>
      <c r="B111" s="46"/>
      <c r="C111" s="46"/>
      <c r="D111" s="46"/>
      <c r="E111" s="46"/>
      <c r="F111" s="46"/>
      <c r="G111" s="46"/>
      <c r="H111" s="46"/>
      <c r="I111" s="46"/>
      <c r="J111" s="46"/>
      <c r="K111" s="47"/>
    </row>
    <row r="112" spans="1:11" x14ac:dyDescent="0.35">
      <c r="A112" s="39"/>
      <c r="B112" s="46"/>
      <c r="C112" s="46"/>
      <c r="D112" s="46"/>
      <c r="E112" s="46"/>
      <c r="F112" s="46"/>
      <c r="G112" s="46"/>
      <c r="H112" s="46"/>
      <c r="I112" s="46"/>
      <c r="J112" s="46"/>
      <c r="K112" s="47"/>
    </row>
    <row r="113" spans="1:11" x14ac:dyDescent="0.35">
      <c r="A113" s="39"/>
      <c r="B113" s="46"/>
      <c r="C113" s="46"/>
      <c r="D113" s="46"/>
      <c r="E113" s="46"/>
      <c r="F113" s="46"/>
      <c r="G113" s="46"/>
      <c r="H113" s="46"/>
      <c r="I113" s="46"/>
      <c r="J113" s="46"/>
      <c r="K113" s="47"/>
    </row>
    <row r="114" spans="1:11" x14ac:dyDescent="0.35">
      <c r="A114" s="39"/>
      <c r="B114" s="46"/>
      <c r="C114" s="46"/>
      <c r="D114" s="46"/>
      <c r="E114" s="46"/>
      <c r="F114" s="46"/>
      <c r="G114" s="46"/>
      <c r="H114" s="46"/>
      <c r="I114" s="46"/>
      <c r="J114" s="46"/>
      <c r="K114" s="47"/>
    </row>
    <row r="115" spans="1:11" x14ac:dyDescent="0.35">
      <c r="A115" s="39"/>
      <c r="B115" s="46"/>
      <c r="C115" s="46"/>
      <c r="D115" s="46"/>
      <c r="E115" s="46"/>
      <c r="F115" s="46"/>
      <c r="G115" s="46"/>
      <c r="H115" s="46"/>
      <c r="I115" s="46"/>
      <c r="J115" s="46"/>
      <c r="K115" s="47"/>
    </row>
    <row r="116" spans="1:11" x14ac:dyDescent="0.35">
      <c r="A116" s="39"/>
      <c r="B116" s="46"/>
      <c r="C116" s="46"/>
      <c r="D116" s="46"/>
      <c r="E116" s="46"/>
      <c r="F116" s="46"/>
      <c r="G116" s="46"/>
      <c r="H116" s="46"/>
      <c r="I116" s="46"/>
      <c r="J116" s="46"/>
      <c r="K116" s="47"/>
    </row>
    <row r="117" spans="1:11" x14ac:dyDescent="0.35">
      <c r="A117" s="39"/>
      <c r="B117" s="46"/>
      <c r="C117" s="46"/>
      <c r="D117" s="46"/>
      <c r="E117" s="46"/>
      <c r="F117" s="46"/>
      <c r="G117" s="46"/>
      <c r="H117" s="46"/>
      <c r="I117" s="46"/>
      <c r="J117" s="46"/>
      <c r="K117" s="47"/>
    </row>
    <row r="118" spans="1:11" x14ac:dyDescent="0.35">
      <c r="A118" s="39"/>
      <c r="B118" s="46"/>
      <c r="C118" s="46"/>
      <c r="D118" s="46"/>
      <c r="E118" s="46"/>
      <c r="F118" s="46"/>
      <c r="G118" s="46"/>
      <c r="H118" s="46"/>
      <c r="I118" s="46"/>
      <c r="J118" s="46"/>
      <c r="K118" s="47"/>
    </row>
    <row r="119" spans="1:11" x14ac:dyDescent="0.35">
      <c r="A119" s="39"/>
      <c r="B119" s="46"/>
      <c r="C119" s="46"/>
      <c r="D119" s="46"/>
      <c r="E119" s="46"/>
      <c r="F119" s="46"/>
      <c r="G119" s="46"/>
      <c r="H119" s="46"/>
      <c r="I119" s="46"/>
      <c r="J119" s="46"/>
      <c r="K119" s="47"/>
    </row>
    <row r="120" spans="1:11" x14ac:dyDescent="0.35">
      <c r="A120" s="39"/>
      <c r="B120" s="46"/>
      <c r="C120" s="46"/>
      <c r="D120" s="46"/>
      <c r="E120" s="46"/>
      <c r="F120" s="46"/>
      <c r="G120" s="46"/>
      <c r="H120" s="46"/>
      <c r="I120" s="46"/>
      <c r="J120" s="46"/>
      <c r="K120" s="47"/>
    </row>
    <row r="121" spans="1:11" x14ac:dyDescent="0.35">
      <c r="A121" s="39"/>
      <c r="B121" s="46"/>
      <c r="C121" s="46"/>
      <c r="D121" s="46"/>
      <c r="E121" s="46"/>
      <c r="F121" s="46"/>
      <c r="G121" s="46"/>
      <c r="H121" s="46"/>
      <c r="I121" s="46"/>
      <c r="J121" s="46"/>
      <c r="K121" s="47"/>
    </row>
    <row r="122" spans="1:11" x14ac:dyDescent="0.35">
      <c r="A122" s="39"/>
      <c r="B122" s="46"/>
      <c r="C122" s="46"/>
      <c r="D122" s="46"/>
      <c r="E122" s="46"/>
      <c r="F122" s="46"/>
      <c r="G122" s="46"/>
      <c r="H122" s="46"/>
      <c r="I122" s="46"/>
      <c r="J122" s="46"/>
      <c r="K122" s="47"/>
    </row>
    <row r="123" spans="1:11" x14ac:dyDescent="0.35">
      <c r="A123" s="39"/>
      <c r="B123" s="46"/>
      <c r="C123" s="46"/>
      <c r="D123" s="46"/>
      <c r="E123" s="46"/>
      <c r="F123" s="46"/>
      <c r="G123" s="46"/>
      <c r="H123" s="46"/>
      <c r="I123" s="46"/>
      <c r="J123" s="46"/>
      <c r="K123" s="47"/>
    </row>
    <row r="124" spans="1:11" x14ac:dyDescent="0.35">
      <c r="A124" s="39"/>
      <c r="B124" s="46"/>
      <c r="C124" s="46"/>
      <c r="D124" s="46"/>
      <c r="E124" s="46"/>
      <c r="F124" s="46"/>
      <c r="G124" s="46"/>
      <c r="H124" s="46"/>
      <c r="I124" s="46"/>
      <c r="J124" s="46"/>
      <c r="K124" s="47"/>
    </row>
    <row r="125" spans="1:11" x14ac:dyDescent="0.35">
      <c r="A125" s="39"/>
      <c r="B125" s="46"/>
      <c r="C125" s="46"/>
      <c r="D125" s="46"/>
      <c r="E125" s="46"/>
      <c r="F125" s="46"/>
      <c r="G125" s="46"/>
      <c r="H125" s="46"/>
      <c r="I125" s="46"/>
      <c r="J125" s="46"/>
      <c r="K125" s="47"/>
    </row>
    <row r="126" spans="1:11" x14ac:dyDescent="0.35">
      <c r="A126" s="39"/>
      <c r="B126" s="46"/>
      <c r="C126" s="46"/>
      <c r="D126" s="46"/>
      <c r="E126" s="46"/>
      <c r="F126" s="46"/>
      <c r="G126" s="46"/>
      <c r="H126" s="46"/>
      <c r="I126" s="46"/>
      <c r="J126" s="46"/>
      <c r="K126" s="47"/>
    </row>
    <row r="127" spans="1:11" x14ac:dyDescent="0.35">
      <c r="A127" s="39"/>
      <c r="B127" s="46"/>
      <c r="C127" s="46"/>
      <c r="D127" s="46"/>
      <c r="E127" s="46"/>
      <c r="F127" s="46"/>
      <c r="G127" s="46"/>
      <c r="H127" s="46"/>
      <c r="I127" s="46"/>
      <c r="J127" s="46"/>
      <c r="K127" s="47"/>
    </row>
    <row r="128" spans="1:11" x14ac:dyDescent="0.35">
      <c r="A128" s="39"/>
      <c r="B128" s="46"/>
      <c r="C128" s="46"/>
      <c r="D128" s="46"/>
      <c r="E128" s="46"/>
      <c r="F128" s="46"/>
      <c r="G128" s="46"/>
      <c r="H128" s="46"/>
      <c r="I128" s="46"/>
      <c r="J128" s="46"/>
      <c r="K128" s="47"/>
    </row>
    <row r="129" spans="1:11" x14ac:dyDescent="0.35">
      <c r="A129" s="39"/>
      <c r="B129" s="46"/>
      <c r="C129" s="46"/>
      <c r="D129" s="46"/>
      <c r="E129" s="46"/>
      <c r="F129" s="46"/>
      <c r="G129" s="46"/>
      <c r="H129" s="46"/>
      <c r="I129" s="46"/>
      <c r="J129" s="46"/>
      <c r="K129" s="47"/>
    </row>
    <row r="130" spans="1:11" x14ac:dyDescent="0.35">
      <c r="A130" s="39"/>
      <c r="B130" s="46"/>
      <c r="C130" s="46"/>
      <c r="D130" s="46"/>
      <c r="E130" s="46"/>
      <c r="F130" s="46"/>
      <c r="G130" s="46"/>
      <c r="H130" s="46"/>
      <c r="I130" s="46"/>
      <c r="J130" s="46"/>
      <c r="K130" s="47"/>
    </row>
    <row r="131" spans="1:11" x14ac:dyDescent="0.35">
      <c r="A131" s="39"/>
      <c r="B131" s="46"/>
      <c r="C131" s="46"/>
      <c r="D131" s="46"/>
      <c r="E131" s="46"/>
      <c r="F131" s="46"/>
      <c r="G131" s="46"/>
      <c r="H131" s="46"/>
      <c r="I131" s="46"/>
      <c r="J131" s="46"/>
      <c r="K131" s="47"/>
    </row>
    <row r="132" spans="1:11" x14ac:dyDescent="0.35">
      <c r="A132" s="39"/>
      <c r="B132" s="46"/>
      <c r="C132" s="46"/>
      <c r="D132" s="46"/>
      <c r="E132" s="46"/>
      <c r="F132" s="46"/>
      <c r="G132" s="46"/>
      <c r="H132" s="46"/>
      <c r="I132" s="46"/>
      <c r="J132" s="46"/>
      <c r="K132" s="47"/>
    </row>
    <row r="133" spans="1:11" x14ac:dyDescent="0.35">
      <c r="A133" s="39"/>
      <c r="B133" s="46"/>
      <c r="C133" s="46"/>
      <c r="D133" s="46"/>
      <c r="E133" s="46"/>
      <c r="F133" s="46"/>
      <c r="G133" s="46"/>
      <c r="H133" s="46"/>
      <c r="I133" s="46"/>
      <c r="J133" s="46"/>
      <c r="K133" s="47"/>
    </row>
    <row r="134" spans="1:11" x14ac:dyDescent="0.35">
      <c r="A134" s="39"/>
      <c r="B134" s="46"/>
      <c r="C134" s="46"/>
      <c r="D134" s="46"/>
      <c r="E134" s="46"/>
      <c r="F134" s="46"/>
      <c r="G134" s="46"/>
      <c r="H134" s="46"/>
      <c r="I134" s="46"/>
      <c r="J134" s="46"/>
      <c r="K134" s="47"/>
    </row>
    <row r="135" spans="1:11" x14ac:dyDescent="0.35">
      <c r="A135" s="39"/>
      <c r="B135" s="46"/>
      <c r="C135" s="46"/>
      <c r="D135" s="46"/>
      <c r="E135" s="46"/>
      <c r="F135" s="46"/>
      <c r="G135" s="46"/>
      <c r="H135" s="46"/>
      <c r="I135" s="46"/>
      <c r="J135" s="46"/>
      <c r="K135" s="47"/>
    </row>
    <row r="136" spans="1:11" x14ac:dyDescent="0.35">
      <c r="A136" s="39"/>
      <c r="B136" s="46"/>
      <c r="C136" s="46"/>
      <c r="D136" s="46"/>
      <c r="E136" s="46"/>
      <c r="F136" s="46"/>
      <c r="G136" s="46"/>
      <c r="H136" s="46"/>
      <c r="I136" s="46"/>
      <c r="J136" s="46"/>
      <c r="K136" s="47"/>
    </row>
    <row r="137" spans="1:11" x14ac:dyDescent="0.35">
      <c r="A137" s="39"/>
      <c r="B137" s="46"/>
      <c r="C137" s="46"/>
      <c r="D137" s="46"/>
      <c r="E137" s="46"/>
      <c r="F137" s="46"/>
      <c r="G137" s="46"/>
      <c r="H137" s="46"/>
      <c r="I137" s="46"/>
      <c r="J137" s="46"/>
      <c r="K137" s="47"/>
    </row>
    <row r="138" spans="1:11" x14ac:dyDescent="0.35">
      <c r="A138" s="39"/>
      <c r="B138" s="46"/>
      <c r="C138" s="46"/>
      <c r="D138" s="46"/>
      <c r="E138" s="46"/>
      <c r="F138" s="46"/>
      <c r="G138" s="46"/>
      <c r="H138" s="46"/>
      <c r="I138" s="46"/>
      <c r="J138" s="46"/>
      <c r="K138" s="47"/>
    </row>
    <row r="139" spans="1:11" x14ac:dyDescent="0.35">
      <c r="A139" s="39"/>
      <c r="B139" s="46"/>
      <c r="C139" s="46"/>
      <c r="D139" s="46"/>
      <c r="E139" s="46"/>
      <c r="F139" s="46"/>
      <c r="G139" s="46"/>
      <c r="H139" s="46"/>
      <c r="I139" s="46"/>
      <c r="J139" s="46"/>
      <c r="K139" s="47"/>
    </row>
    <row r="140" spans="1:11" x14ac:dyDescent="0.35">
      <c r="A140" s="39"/>
      <c r="B140" s="46"/>
      <c r="C140" s="46"/>
      <c r="D140" s="46"/>
      <c r="E140" s="46"/>
      <c r="F140" s="46"/>
      <c r="G140" s="46"/>
      <c r="H140" s="46"/>
      <c r="I140" s="46"/>
      <c r="J140" s="46"/>
      <c r="K140" s="47"/>
    </row>
    <row r="141" spans="1:11" x14ac:dyDescent="0.35">
      <c r="A141" s="39"/>
      <c r="B141" s="46"/>
      <c r="C141" s="46"/>
      <c r="D141" s="46"/>
      <c r="E141" s="46"/>
      <c r="F141" s="46"/>
      <c r="G141" s="46"/>
      <c r="H141" s="46"/>
      <c r="I141" s="46"/>
      <c r="J141" s="46"/>
      <c r="K141" s="47"/>
    </row>
    <row r="142" spans="1:11" x14ac:dyDescent="0.35">
      <c r="A142" s="39"/>
      <c r="B142" s="46"/>
      <c r="C142" s="46"/>
      <c r="D142" s="46"/>
      <c r="E142" s="46"/>
      <c r="F142" s="46"/>
      <c r="G142" s="46"/>
      <c r="H142" s="46"/>
      <c r="I142" s="46"/>
      <c r="J142" s="46"/>
      <c r="K142" s="47"/>
    </row>
    <row r="143" spans="1:11" x14ac:dyDescent="0.35">
      <c r="A143" s="39"/>
      <c r="B143" s="46"/>
      <c r="C143" s="46"/>
      <c r="D143" s="46"/>
      <c r="E143" s="46"/>
      <c r="F143" s="46"/>
      <c r="G143" s="46"/>
      <c r="H143" s="46"/>
      <c r="I143" s="46"/>
      <c r="J143" s="46"/>
      <c r="K143" s="47"/>
    </row>
    <row r="144" spans="1:11" x14ac:dyDescent="0.35">
      <c r="A144" s="39"/>
      <c r="B144" s="46"/>
      <c r="C144" s="46"/>
      <c r="D144" s="46"/>
      <c r="E144" s="46"/>
      <c r="F144" s="46"/>
      <c r="G144" s="46"/>
      <c r="H144" s="46"/>
      <c r="I144" s="46"/>
      <c r="J144" s="46"/>
      <c r="K144" s="47"/>
    </row>
    <row r="145" spans="1:11" x14ac:dyDescent="0.35">
      <c r="A145" s="39"/>
      <c r="B145" s="46"/>
      <c r="C145" s="46"/>
      <c r="D145" s="46"/>
      <c r="E145" s="46"/>
      <c r="F145" s="46"/>
      <c r="G145" s="46"/>
      <c r="H145" s="46"/>
      <c r="I145" s="46"/>
      <c r="J145" s="46"/>
      <c r="K145" s="47"/>
    </row>
    <row r="146" spans="1:11" x14ac:dyDescent="0.35">
      <c r="A146" s="39"/>
      <c r="B146" s="46"/>
      <c r="C146" s="46"/>
      <c r="D146" s="46"/>
      <c r="E146" s="46"/>
      <c r="F146" s="46"/>
      <c r="G146" s="46"/>
      <c r="H146" s="46"/>
      <c r="I146" s="46"/>
      <c r="J146" s="46"/>
      <c r="K146" s="47"/>
    </row>
    <row r="147" spans="1:11" x14ac:dyDescent="0.35">
      <c r="A147" s="39"/>
      <c r="B147" s="46"/>
      <c r="C147" s="46"/>
      <c r="D147" s="46"/>
      <c r="E147" s="46"/>
      <c r="F147" s="46"/>
      <c r="G147" s="46"/>
      <c r="H147" s="46"/>
      <c r="I147" s="46"/>
      <c r="J147" s="46"/>
      <c r="K147" s="47"/>
    </row>
    <row r="148" spans="1:11" x14ac:dyDescent="0.35">
      <c r="A148" s="39"/>
      <c r="B148" s="46"/>
      <c r="C148" s="46"/>
      <c r="D148" s="46"/>
      <c r="E148" s="46"/>
      <c r="F148" s="46"/>
      <c r="G148" s="46"/>
      <c r="H148" s="46"/>
      <c r="I148" s="46"/>
      <c r="J148" s="46"/>
      <c r="K148" s="47"/>
    </row>
    <row r="149" spans="1:11" x14ac:dyDescent="0.35">
      <c r="A149" s="39"/>
      <c r="B149" s="46"/>
      <c r="C149" s="46"/>
      <c r="D149" s="46"/>
      <c r="E149" s="46"/>
      <c r="F149" s="46"/>
      <c r="G149" s="46"/>
      <c r="H149" s="46"/>
      <c r="I149" s="46"/>
      <c r="J149" s="46"/>
      <c r="K149" s="47"/>
    </row>
    <row r="150" spans="1:11" x14ac:dyDescent="0.35">
      <c r="A150" s="39"/>
      <c r="B150" s="46"/>
      <c r="C150" s="46"/>
      <c r="D150" s="46"/>
      <c r="E150" s="46"/>
      <c r="F150" s="46"/>
      <c r="G150" s="46"/>
      <c r="H150" s="46"/>
      <c r="I150" s="46"/>
      <c r="J150" s="46"/>
      <c r="K150" s="47"/>
    </row>
    <row r="151" spans="1:11" x14ac:dyDescent="0.35">
      <c r="A151" s="39"/>
      <c r="B151" s="46"/>
      <c r="C151" s="46"/>
      <c r="D151" s="46"/>
      <c r="E151" s="46"/>
      <c r="F151" s="46"/>
      <c r="G151" s="46"/>
      <c r="H151" s="46"/>
      <c r="I151" s="46"/>
      <c r="J151" s="46"/>
      <c r="K151" s="47"/>
    </row>
    <row r="152" spans="1:11" x14ac:dyDescent="0.35">
      <c r="A152" s="39"/>
      <c r="B152" s="46"/>
      <c r="C152" s="46"/>
      <c r="D152" s="46"/>
      <c r="E152" s="46"/>
      <c r="F152" s="46"/>
      <c r="G152" s="46"/>
      <c r="H152" s="46"/>
      <c r="I152" s="46"/>
      <c r="J152" s="46"/>
      <c r="K152" s="47"/>
    </row>
    <row r="153" spans="1:11" x14ac:dyDescent="0.35">
      <c r="A153" s="39"/>
      <c r="B153" s="46"/>
      <c r="C153" s="46"/>
      <c r="D153" s="46"/>
      <c r="E153" s="46"/>
      <c r="F153" s="46"/>
      <c r="G153" s="46"/>
      <c r="H153" s="46"/>
      <c r="I153" s="46"/>
      <c r="J153" s="46"/>
      <c r="K153" s="47"/>
    </row>
    <row r="154" spans="1:11" x14ac:dyDescent="0.35">
      <c r="A154" s="39"/>
      <c r="B154" s="46"/>
      <c r="C154" s="46"/>
      <c r="D154" s="46"/>
      <c r="E154" s="46"/>
      <c r="F154" s="46"/>
      <c r="G154" s="46"/>
      <c r="H154" s="46"/>
      <c r="I154" s="46"/>
      <c r="J154" s="46"/>
      <c r="K154" s="47"/>
    </row>
    <row r="155" spans="1:11" x14ac:dyDescent="0.35">
      <c r="A155" s="39"/>
      <c r="B155" s="46"/>
      <c r="C155" s="46"/>
      <c r="D155" s="46"/>
      <c r="E155" s="46"/>
      <c r="F155" s="46"/>
      <c r="G155" s="46"/>
      <c r="H155" s="46"/>
      <c r="I155" s="46"/>
      <c r="J155" s="46"/>
      <c r="K155" s="47"/>
    </row>
    <row r="156" spans="1:11" x14ac:dyDescent="0.35">
      <c r="A156" s="39"/>
      <c r="B156" s="46"/>
      <c r="C156" s="46"/>
      <c r="D156" s="46"/>
      <c r="E156" s="46"/>
      <c r="F156" s="46"/>
      <c r="G156" s="46"/>
      <c r="H156" s="46"/>
      <c r="I156" s="46"/>
      <c r="J156" s="46"/>
      <c r="K156" s="47"/>
    </row>
    <row r="157" spans="1:11" x14ac:dyDescent="0.35">
      <c r="A157" s="39"/>
      <c r="B157" s="46"/>
      <c r="C157" s="46"/>
      <c r="D157" s="46"/>
      <c r="E157" s="46"/>
      <c r="F157" s="46"/>
      <c r="G157" s="46"/>
      <c r="H157" s="46"/>
      <c r="I157" s="46"/>
      <c r="J157" s="46"/>
      <c r="K157" s="47"/>
    </row>
    <row r="158" spans="1:11" x14ac:dyDescent="0.35">
      <c r="A158" s="39"/>
      <c r="B158" s="46"/>
      <c r="C158" s="46"/>
      <c r="D158" s="46"/>
      <c r="E158" s="46"/>
      <c r="F158" s="46"/>
      <c r="G158" s="46"/>
      <c r="H158" s="46"/>
      <c r="I158" s="46"/>
      <c r="J158" s="46"/>
      <c r="K158" s="47"/>
    </row>
    <row r="159" spans="1:11" x14ac:dyDescent="0.35">
      <c r="A159" s="39"/>
      <c r="B159" s="46"/>
      <c r="C159" s="46"/>
      <c r="D159" s="46"/>
      <c r="E159" s="46"/>
      <c r="F159" s="46"/>
      <c r="G159" s="46"/>
      <c r="H159" s="46"/>
      <c r="I159" s="46"/>
      <c r="J159" s="46"/>
      <c r="K159" s="47"/>
    </row>
    <row r="160" spans="1:11" x14ac:dyDescent="0.35">
      <c r="A160" s="39"/>
      <c r="B160" s="46"/>
      <c r="C160" s="46"/>
      <c r="D160" s="46"/>
      <c r="E160" s="46"/>
      <c r="F160" s="46"/>
      <c r="G160" s="46"/>
      <c r="H160" s="46"/>
      <c r="I160" s="46"/>
      <c r="J160" s="46"/>
      <c r="K160" s="47"/>
    </row>
    <row r="161" spans="1:11" x14ac:dyDescent="0.35">
      <c r="A161" s="39"/>
      <c r="B161" s="46"/>
      <c r="C161" s="46"/>
      <c r="D161" s="46"/>
      <c r="E161" s="46"/>
      <c r="F161" s="46"/>
      <c r="G161" s="46"/>
      <c r="H161" s="46"/>
      <c r="I161" s="46"/>
      <c r="J161" s="46"/>
      <c r="K161" s="47"/>
    </row>
    <row r="162" spans="1:11" x14ac:dyDescent="0.35">
      <c r="A162" s="39"/>
      <c r="B162" s="46"/>
      <c r="C162" s="46"/>
      <c r="D162" s="46"/>
      <c r="E162" s="46"/>
      <c r="F162" s="46"/>
      <c r="G162" s="46"/>
      <c r="H162" s="46"/>
      <c r="I162" s="46"/>
      <c r="J162" s="46"/>
      <c r="K162" s="47"/>
    </row>
    <row r="163" spans="1:11" x14ac:dyDescent="0.35">
      <c r="A163" s="39"/>
      <c r="B163" s="46"/>
      <c r="C163" s="46"/>
      <c r="D163" s="46"/>
      <c r="E163" s="46"/>
      <c r="F163" s="46"/>
      <c r="G163" s="46"/>
      <c r="H163" s="46"/>
      <c r="I163" s="46"/>
      <c r="J163" s="46"/>
      <c r="K163" s="47"/>
    </row>
    <row r="164" spans="1:11" x14ac:dyDescent="0.35">
      <c r="A164" s="39"/>
      <c r="B164" s="46"/>
      <c r="C164" s="46"/>
      <c r="D164" s="46"/>
      <c r="E164" s="46"/>
      <c r="F164" s="46"/>
      <c r="G164" s="46"/>
      <c r="H164" s="46"/>
      <c r="I164" s="46"/>
      <c r="J164" s="46"/>
      <c r="K164" s="47"/>
    </row>
    <row r="165" spans="1:11" x14ac:dyDescent="0.35">
      <c r="A165" s="39"/>
      <c r="B165" s="46"/>
      <c r="C165" s="46"/>
      <c r="D165" s="46"/>
      <c r="E165" s="46"/>
      <c r="F165" s="46"/>
      <c r="G165" s="46"/>
      <c r="H165" s="46"/>
      <c r="I165" s="46"/>
      <c r="J165" s="46"/>
      <c r="K165" s="47"/>
    </row>
    <row r="166" spans="1:11" x14ac:dyDescent="0.35">
      <c r="A166" s="39"/>
      <c r="B166" s="46"/>
      <c r="C166" s="46"/>
      <c r="D166" s="46"/>
      <c r="E166" s="46"/>
      <c r="F166" s="46"/>
      <c r="G166" s="46"/>
      <c r="H166" s="46"/>
      <c r="I166" s="46"/>
      <c r="J166" s="46"/>
      <c r="K166" s="47"/>
    </row>
    <row r="167" spans="1:11" x14ac:dyDescent="0.35">
      <c r="A167" s="39"/>
      <c r="B167" s="46"/>
      <c r="C167" s="46"/>
      <c r="D167" s="46"/>
      <c r="E167" s="46"/>
      <c r="F167" s="46"/>
      <c r="G167" s="46"/>
      <c r="H167" s="46"/>
      <c r="I167" s="46"/>
      <c r="J167" s="46"/>
      <c r="K167" s="47"/>
    </row>
    <row r="168" spans="1:11" x14ac:dyDescent="0.35">
      <c r="A168" s="39"/>
      <c r="B168" s="46"/>
      <c r="C168" s="46"/>
      <c r="D168" s="46"/>
      <c r="E168" s="46"/>
      <c r="F168" s="46"/>
      <c r="G168" s="46"/>
      <c r="H168" s="46"/>
      <c r="I168" s="46"/>
      <c r="J168" s="46"/>
      <c r="K168" s="47"/>
    </row>
    <row r="169" spans="1:11" x14ac:dyDescent="0.35">
      <c r="A169" s="39"/>
      <c r="B169" s="46"/>
      <c r="C169" s="46"/>
      <c r="D169" s="46"/>
      <c r="E169" s="46"/>
      <c r="F169" s="46"/>
      <c r="G169" s="46"/>
      <c r="H169" s="46"/>
      <c r="I169" s="46"/>
      <c r="J169" s="46"/>
      <c r="K169" s="47"/>
    </row>
    <row r="170" spans="1:11" x14ac:dyDescent="0.35">
      <c r="A170" s="39"/>
      <c r="B170" s="46"/>
      <c r="C170" s="46"/>
      <c r="D170" s="46"/>
      <c r="E170" s="46"/>
      <c r="F170" s="46"/>
      <c r="G170" s="46"/>
      <c r="H170" s="46"/>
      <c r="I170" s="46"/>
      <c r="J170" s="46"/>
      <c r="K170" s="47"/>
    </row>
    <row r="171" spans="1:11" x14ac:dyDescent="0.35">
      <c r="A171" s="39"/>
      <c r="B171" s="46"/>
      <c r="C171" s="46"/>
      <c r="D171" s="46"/>
      <c r="E171" s="46"/>
      <c r="F171" s="46"/>
      <c r="G171" s="46"/>
      <c r="H171" s="46"/>
      <c r="I171" s="46"/>
      <c r="J171" s="46"/>
      <c r="K171" s="47"/>
    </row>
    <row r="172" spans="1:11" x14ac:dyDescent="0.35">
      <c r="A172" s="39"/>
      <c r="B172" s="46"/>
      <c r="C172" s="46"/>
      <c r="D172" s="46"/>
      <c r="E172" s="46"/>
      <c r="F172" s="46"/>
      <c r="G172" s="46"/>
      <c r="H172" s="46"/>
      <c r="I172" s="46"/>
      <c r="J172" s="46"/>
      <c r="K172" s="47"/>
    </row>
    <row r="173" spans="1:11" x14ac:dyDescent="0.35">
      <c r="A173" s="39"/>
      <c r="B173" s="46"/>
      <c r="C173" s="46"/>
      <c r="D173" s="46"/>
      <c r="E173" s="46"/>
      <c r="F173" s="46"/>
      <c r="G173" s="46"/>
      <c r="H173" s="46"/>
      <c r="I173" s="46"/>
      <c r="J173" s="46"/>
      <c r="K173" s="47"/>
    </row>
    <row r="174" spans="1:11" x14ac:dyDescent="0.35">
      <c r="A174" s="39"/>
      <c r="B174" s="46"/>
      <c r="C174" s="46"/>
      <c r="D174" s="46"/>
      <c r="E174" s="46"/>
      <c r="F174" s="46"/>
      <c r="G174" s="46"/>
      <c r="H174" s="46"/>
      <c r="I174" s="46"/>
      <c r="J174" s="46"/>
      <c r="K174" s="47"/>
    </row>
    <row r="175" spans="1:11" x14ac:dyDescent="0.35">
      <c r="A175" s="39"/>
      <c r="B175" s="46"/>
      <c r="C175" s="46"/>
      <c r="D175" s="46"/>
      <c r="E175" s="46"/>
      <c r="F175" s="46"/>
      <c r="G175" s="46"/>
      <c r="H175" s="46"/>
      <c r="I175" s="46"/>
      <c r="J175" s="46"/>
      <c r="K175" s="47"/>
    </row>
    <row r="176" spans="1:11" x14ac:dyDescent="0.35">
      <c r="A176" s="39"/>
      <c r="B176" s="46"/>
      <c r="C176" s="46"/>
      <c r="D176" s="46"/>
      <c r="E176" s="46"/>
      <c r="F176" s="46"/>
      <c r="G176" s="46"/>
      <c r="H176" s="46"/>
      <c r="I176" s="46"/>
      <c r="J176" s="46"/>
      <c r="K176" s="47"/>
    </row>
    <row r="177" spans="1:11" x14ac:dyDescent="0.35">
      <c r="A177" s="39"/>
      <c r="B177" s="46"/>
      <c r="C177" s="46"/>
      <c r="D177" s="46"/>
      <c r="E177" s="46"/>
      <c r="F177" s="46"/>
      <c r="G177" s="46"/>
      <c r="H177" s="46"/>
      <c r="I177" s="46"/>
      <c r="J177" s="46"/>
      <c r="K177" s="47"/>
    </row>
    <row r="178" spans="1:11" x14ac:dyDescent="0.35">
      <c r="A178" s="39"/>
      <c r="B178" s="46"/>
      <c r="C178" s="46"/>
      <c r="D178" s="46"/>
      <c r="E178" s="46"/>
      <c r="F178" s="46"/>
      <c r="G178" s="46"/>
      <c r="H178" s="46"/>
      <c r="I178" s="46"/>
      <c r="J178" s="46"/>
      <c r="K178" s="47"/>
    </row>
    <row r="179" spans="1:11" x14ac:dyDescent="0.35">
      <c r="A179" s="39"/>
      <c r="B179" s="46"/>
      <c r="C179" s="46"/>
      <c r="D179" s="46"/>
      <c r="E179" s="46"/>
      <c r="F179" s="46"/>
      <c r="G179" s="46"/>
      <c r="H179" s="46"/>
      <c r="I179" s="46"/>
      <c r="J179" s="46"/>
      <c r="K179" s="47"/>
    </row>
    <row r="180" spans="1:11" x14ac:dyDescent="0.35">
      <c r="A180" s="39"/>
      <c r="B180" s="46"/>
      <c r="C180" s="46"/>
      <c r="D180" s="46"/>
      <c r="E180" s="46"/>
      <c r="F180" s="46"/>
      <c r="G180" s="46"/>
      <c r="H180" s="46"/>
      <c r="I180" s="46"/>
      <c r="J180" s="46"/>
      <c r="K180" s="47"/>
    </row>
    <row r="181" spans="1:11" x14ac:dyDescent="0.35">
      <c r="A181" s="39"/>
      <c r="B181" s="46"/>
      <c r="C181" s="46"/>
      <c r="D181" s="46"/>
      <c r="E181" s="46"/>
      <c r="F181" s="46"/>
      <c r="G181" s="46"/>
      <c r="H181" s="46"/>
      <c r="I181" s="46"/>
      <c r="J181" s="46"/>
      <c r="K181" s="47"/>
    </row>
    <row r="182" spans="1:11" x14ac:dyDescent="0.35">
      <c r="A182" s="39"/>
      <c r="B182" s="46"/>
      <c r="C182" s="46"/>
      <c r="D182" s="46"/>
      <c r="E182" s="46"/>
      <c r="F182" s="46"/>
      <c r="G182" s="46"/>
      <c r="H182" s="46"/>
      <c r="I182" s="46"/>
      <c r="J182" s="46"/>
      <c r="K182" s="47"/>
    </row>
    <row r="183" spans="1:11" x14ac:dyDescent="0.35">
      <c r="A183" s="39"/>
      <c r="B183" s="46"/>
      <c r="C183" s="46"/>
      <c r="D183" s="46"/>
      <c r="E183" s="46"/>
      <c r="F183" s="46"/>
      <c r="G183" s="46"/>
      <c r="H183" s="46"/>
      <c r="I183" s="46"/>
      <c r="J183" s="46"/>
      <c r="K183" s="47"/>
    </row>
    <row r="184" spans="1:11" x14ac:dyDescent="0.35">
      <c r="A184" s="39"/>
      <c r="B184" s="46"/>
      <c r="C184" s="46"/>
      <c r="D184" s="46"/>
      <c r="E184" s="46"/>
      <c r="F184" s="46"/>
      <c r="G184" s="46"/>
      <c r="H184" s="46"/>
      <c r="I184" s="46"/>
      <c r="J184" s="46"/>
      <c r="K184" s="47"/>
    </row>
    <row r="185" spans="1:11" x14ac:dyDescent="0.35">
      <c r="A185" s="39"/>
      <c r="B185" s="46"/>
      <c r="C185" s="46"/>
      <c r="D185" s="46"/>
      <c r="E185" s="46"/>
      <c r="F185" s="46"/>
      <c r="G185" s="46"/>
      <c r="H185" s="46"/>
      <c r="I185" s="46"/>
      <c r="J185" s="46"/>
      <c r="K185" s="47"/>
    </row>
    <row r="186" spans="1:11" x14ac:dyDescent="0.35">
      <c r="A186" s="39"/>
      <c r="B186" s="46"/>
      <c r="C186" s="46"/>
      <c r="D186" s="46"/>
      <c r="E186" s="46"/>
      <c r="F186" s="46"/>
      <c r="G186" s="46"/>
      <c r="H186" s="46"/>
      <c r="I186" s="46"/>
      <c r="J186" s="46"/>
      <c r="K186" s="47"/>
    </row>
    <row r="187" spans="1:11" x14ac:dyDescent="0.35">
      <c r="A187" s="39"/>
      <c r="B187" s="46"/>
      <c r="C187" s="46"/>
      <c r="D187" s="46"/>
      <c r="E187" s="46"/>
      <c r="F187" s="46"/>
      <c r="G187" s="46"/>
      <c r="H187" s="46"/>
      <c r="I187" s="46"/>
      <c r="J187" s="46"/>
      <c r="K187" s="47"/>
    </row>
    <row r="188" spans="1:11" x14ac:dyDescent="0.35">
      <c r="A188" s="39"/>
      <c r="B188" s="46"/>
      <c r="C188" s="46"/>
      <c r="D188" s="46"/>
      <c r="E188" s="46"/>
      <c r="F188" s="46"/>
      <c r="G188" s="46"/>
      <c r="H188" s="46"/>
      <c r="I188" s="46"/>
      <c r="J188" s="46"/>
      <c r="K188" s="47"/>
    </row>
    <row r="189" spans="1:11" x14ac:dyDescent="0.35">
      <c r="A189" s="39"/>
      <c r="B189" s="46"/>
      <c r="C189" s="46"/>
      <c r="D189" s="46"/>
      <c r="E189" s="46"/>
      <c r="F189" s="46"/>
      <c r="G189" s="46"/>
      <c r="H189" s="46"/>
      <c r="I189" s="46"/>
      <c r="J189" s="46"/>
      <c r="K189" s="47"/>
    </row>
    <row r="190" spans="1:11" x14ac:dyDescent="0.35">
      <c r="A190" s="39"/>
      <c r="B190" s="46"/>
      <c r="C190" s="46"/>
      <c r="D190" s="46"/>
      <c r="E190" s="46"/>
      <c r="F190" s="46"/>
      <c r="G190" s="46"/>
      <c r="H190" s="46"/>
      <c r="I190" s="46"/>
      <c r="J190" s="46"/>
      <c r="K190" s="47"/>
    </row>
    <row r="191" spans="1:11" x14ac:dyDescent="0.35">
      <c r="A191" s="39"/>
      <c r="B191" s="46"/>
      <c r="C191" s="46"/>
      <c r="D191" s="46"/>
      <c r="E191" s="46"/>
      <c r="F191" s="46"/>
      <c r="G191" s="46"/>
      <c r="H191" s="46"/>
      <c r="I191" s="46"/>
      <c r="J191" s="46"/>
      <c r="K191" s="47"/>
    </row>
    <row r="192" spans="1:11" x14ac:dyDescent="0.35">
      <c r="A192" s="39"/>
      <c r="B192" s="46"/>
      <c r="C192" s="46"/>
      <c r="D192" s="46"/>
      <c r="E192" s="46"/>
      <c r="F192" s="46"/>
      <c r="G192" s="46"/>
      <c r="H192" s="46"/>
      <c r="I192" s="46"/>
      <c r="J192" s="46"/>
      <c r="K192" s="47"/>
    </row>
    <row r="193" spans="1:11" x14ac:dyDescent="0.35">
      <c r="A193" s="39"/>
      <c r="B193" s="46"/>
      <c r="C193" s="46"/>
      <c r="D193" s="46"/>
      <c r="E193" s="46"/>
      <c r="F193" s="46"/>
      <c r="G193" s="46"/>
      <c r="H193" s="46"/>
      <c r="I193" s="46"/>
      <c r="J193" s="46"/>
      <c r="K193" s="47"/>
    </row>
    <row r="194" spans="1:11" x14ac:dyDescent="0.35">
      <c r="A194" s="39"/>
      <c r="B194" s="46"/>
      <c r="C194" s="46"/>
      <c r="D194" s="46"/>
      <c r="E194" s="46"/>
      <c r="F194" s="46"/>
      <c r="G194" s="46"/>
      <c r="H194" s="46"/>
      <c r="I194" s="46"/>
      <c r="J194" s="46"/>
      <c r="K194" s="47"/>
    </row>
    <row r="195" spans="1:11" x14ac:dyDescent="0.35">
      <c r="A195" s="39"/>
      <c r="B195" s="46"/>
      <c r="C195" s="46"/>
      <c r="D195" s="46"/>
      <c r="E195" s="46"/>
      <c r="F195" s="46"/>
      <c r="G195" s="46"/>
      <c r="H195" s="46"/>
      <c r="I195" s="46"/>
      <c r="J195" s="46"/>
      <c r="K195" s="47"/>
    </row>
    <row r="196" spans="1:11" x14ac:dyDescent="0.35">
      <c r="A196" s="39"/>
      <c r="B196" s="46"/>
      <c r="C196" s="46"/>
      <c r="D196" s="46"/>
      <c r="E196" s="46"/>
      <c r="F196" s="46"/>
      <c r="G196" s="46"/>
      <c r="H196" s="46"/>
      <c r="I196" s="46"/>
      <c r="J196" s="46"/>
      <c r="K196" s="47"/>
    </row>
    <row r="197" spans="1:11" x14ac:dyDescent="0.35">
      <c r="A197" s="39"/>
      <c r="B197" s="46"/>
      <c r="C197" s="46"/>
      <c r="D197" s="46"/>
      <c r="E197" s="46"/>
      <c r="F197" s="46"/>
      <c r="G197" s="46"/>
      <c r="H197" s="46"/>
      <c r="I197" s="46"/>
      <c r="J197" s="46"/>
      <c r="K197" s="47"/>
    </row>
    <row r="198" spans="1:11" x14ac:dyDescent="0.35">
      <c r="A198" s="39"/>
      <c r="B198" s="46"/>
      <c r="C198" s="46"/>
      <c r="D198" s="46"/>
      <c r="E198" s="46"/>
      <c r="F198" s="46"/>
      <c r="G198" s="46"/>
      <c r="H198" s="46"/>
      <c r="I198" s="46"/>
      <c r="J198" s="46"/>
      <c r="K198" s="47"/>
    </row>
    <row r="199" spans="1:11" x14ac:dyDescent="0.35">
      <c r="A199" s="39"/>
      <c r="B199" s="46"/>
      <c r="C199" s="46"/>
      <c r="D199" s="46"/>
      <c r="E199" s="46"/>
      <c r="F199" s="46"/>
      <c r="G199" s="46"/>
      <c r="H199" s="46"/>
      <c r="I199" s="46"/>
      <c r="J199" s="46"/>
      <c r="K199" s="47"/>
    </row>
    <row r="200" spans="1:11" x14ac:dyDescent="0.35">
      <c r="A200" s="39"/>
      <c r="B200" s="46"/>
      <c r="C200" s="46"/>
      <c r="D200" s="46"/>
      <c r="E200" s="46"/>
      <c r="F200" s="46"/>
      <c r="G200" s="46"/>
      <c r="H200" s="46"/>
      <c r="I200" s="46"/>
      <c r="J200" s="46"/>
      <c r="K200" s="47"/>
    </row>
    <row r="201" spans="1:11" x14ac:dyDescent="0.35">
      <c r="A201" s="39"/>
      <c r="B201" s="46"/>
      <c r="C201" s="46"/>
      <c r="D201" s="46"/>
      <c r="E201" s="46"/>
      <c r="F201" s="46"/>
      <c r="G201" s="46"/>
      <c r="H201" s="46"/>
      <c r="I201" s="46"/>
      <c r="J201" s="46"/>
      <c r="K201" s="47"/>
    </row>
    <row r="202" spans="1:11" x14ac:dyDescent="0.35">
      <c r="A202" s="39"/>
      <c r="B202" s="46"/>
      <c r="C202" s="46"/>
      <c r="D202" s="46"/>
      <c r="E202" s="46"/>
      <c r="F202" s="46"/>
      <c r="G202" s="46"/>
      <c r="H202" s="46"/>
      <c r="I202" s="46"/>
      <c r="J202" s="46"/>
      <c r="K202" s="47"/>
    </row>
    <row r="203" spans="1:11" x14ac:dyDescent="0.35">
      <c r="A203" s="39"/>
      <c r="B203" s="46"/>
      <c r="C203" s="46"/>
      <c r="D203" s="46"/>
      <c r="E203" s="46"/>
      <c r="F203" s="46"/>
      <c r="G203" s="46"/>
      <c r="H203" s="46"/>
      <c r="I203" s="46"/>
      <c r="J203" s="46"/>
      <c r="K203" s="47"/>
    </row>
    <row r="204" spans="1:11" x14ac:dyDescent="0.35">
      <c r="A204" s="39"/>
      <c r="B204" s="46"/>
      <c r="C204" s="46"/>
      <c r="D204" s="46"/>
      <c r="E204" s="46"/>
      <c r="F204" s="46"/>
      <c r="G204" s="46"/>
      <c r="H204" s="46"/>
      <c r="I204" s="46"/>
      <c r="J204" s="46"/>
      <c r="K204" s="47"/>
    </row>
    <row r="205" spans="1:11" x14ac:dyDescent="0.35">
      <c r="A205" s="39"/>
      <c r="B205" s="46"/>
      <c r="C205" s="46"/>
      <c r="D205" s="46"/>
      <c r="E205" s="46"/>
      <c r="F205" s="46"/>
      <c r="G205" s="46"/>
      <c r="H205" s="46"/>
      <c r="I205" s="46"/>
      <c r="J205" s="46"/>
      <c r="K205" s="47"/>
    </row>
    <row r="206" spans="1:11" x14ac:dyDescent="0.35">
      <c r="A206" s="39"/>
      <c r="B206" s="46"/>
      <c r="C206" s="46"/>
      <c r="D206" s="46"/>
      <c r="E206" s="46"/>
      <c r="F206" s="46"/>
      <c r="G206" s="46"/>
      <c r="H206" s="46"/>
      <c r="I206" s="46"/>
      <c r="J206" s="46"/>
      <c r="K206" s="47"/>
    </row>
    <row r="207" spans="1:11" x14ac:dyDescent="0.35">
      <c r="A207" s="39"/>
      <c r="B207" s="46"/>
      <c r="C207" s="46"/>
      <c r="D207" s="46"/>
      <c r="E207" s="46"/>
      <c r="F207" s="46"/>
      <c r="G207" s="46"/>
      <c r="H207" s="46"/>
      <c r="I207" s="46"/>
      <c r="J207" s="46"/>
      <c r="K207" s="47"/>
    </row>
    <row r="208" spans="1:11" x14ac:dyDescent="0.35">
      <c r="A208" s="39"/>
      <c r="B208" s="46"/>
      <c r="C208" s="46"/>
      <c r="D208" s="46"/>
      <c r="E208" s="46"/>
      <c r="F208" s="46"/>
      <c r="G208" s="46"/>
      <c r="H208" s="46"/>
      <c r="I208" s="46"/>
      <c r="J208" s="46"/>
      <c r="K208" s="47"/>
    </row>
    <row r="209" spans="1:11" x14ac:dyDescent="0.35">
      <c r="A209" s="39"/>
      <c r="B209" s="46"/>
      <c r="C209" s="46"/>
      <c r="D209" s="46"/>
      <c r="E209" s="46"/>
      <c r="F209" s="46"/>
      <c r="G209" s="46"/>
      <c r="H209" s="46"/>
      <c r="I209" s="46"/>
      <c r="J209" s="46"/>
      <c r="K209" s="47"/>
    </row>
    <row r="210" spans="1:11" x14ac:dyDescent="0.35">
      <c r="A210" s="39"/>
      <c r="B210" s="46"/>
      <c r="C210" s="46"/>
      <c r="D210" s="46"/>
      <c r="E210" s="46"/>
      <c r="F210" s="46"/>
      <c r="G210" s="46"/>
      <c r="H210" s="46"/>
      <c r="I210" s="46"/>
      <c r="J210" s="46"/>
      <c r="K210" s="47"/>
    </row>
    <row r="211" spans="1:11" x14ac:dyDescent="0.35">
      <c r="A211" s="39"/>
      <c r="B211" s="46"/>
      <c r="C211" s="46"/>
      <c r="D211" s="46"/>
      <c r="E211" s="46"/>
      <c r="F211" s="46"/>
      <c r="G211" s="46"/>
      <c r="H211" s="46"/>
      <c r="I211" s="46"/>
      <c r="J211" s="46"/>
      <c r="K211" s="47"/>
    </row>
    <row r="212" spans="1:11" x14ac:dyDescent="0.35">
      <c r="A212" s="39"/>
      <c r="B212" s="46"/>
      <c r="C212" s="46"/>
      <c r="D212" s="46"/>
      <c r="E212" s="46"/>
      <c r="F212" s="46"/>
      <c r="G212" s="46"/>
      <c r="H212" s="46"/>
      <c r="I212" s="46"/>
      <c r="J212" s="46"/>
      <c r="K212" s="47"/>
    </row>
    <row r="213" spans="1:11" x14ac:dyDescent="0.35">
      <c r="A213" s="39"/>
      <c r="B213" s="46"/>
      <c r="C213" s="46"/>
      <c r="D213" s="46"/>
      <c r="E213" s="46"/>
      <c r="F213" s="46"/>
      <c r="G213" s="46"/>
      <c r="H213" s="46"/>
      <c r="I213" s="46"/>
      <c r="J213" s="46"/>
      <c r="K213" s="47"/>
    </row>
    <row r="214" spans="1:11" x14ac:dyDescent="0.35">
      <c r="A214" s="39"/>
      <c r="B214" s="46"/>
      <c r="C214" s="46"/>
      <c r="D214" s="46"/>
      <c r="E214" s="46"/>
      <c r="F214" s="46"/>
      <c r="G214" s="46"/>
      <c r="H214" s="46"/>
      <c r="I214" s="46"/>
      <c r="J214" s="46"/>
      <c r="K214" s="47"/>
    </row>
    <row r="215" spans="1:11" x14ac:dyDescent="0.35">
      <c r="A215" s="39"/>
      <c r="B215" s="46"/>
      <c r="C215" s="46"/>
      <c r="D215" s="46"/>
      <c r="E215" s="46"/>
      <c r="F215" s="46"/>
      <c r="G215" s="46"/>
      <c r="H215" s="46"/>
      <c r="I215" s="46"/>
      <c r="J215" s="46"/>
      <c r="K215" s="47"/>
    </row>
    <row r="216" spans="1:11" x14ac:dyDescent="0.35">
      <c r="A216" s="39"/>
      <c r="B216" s="46"/>
      <c r="C216" s="46"/>
      <c r="D216" s="46"/>
      <c r="E216" s="46"/>
      <c r="F216" s="46"/>
      <c r="G216" s="46"/>
      <c r="H216" s="46"/>
      <c r="I216" s="46"/>
      <c r="J216" s="46"/>
      <c r="K216" s="47"/>
    </row>
    <row r="217" spans="1:11" x14ac:dyDescent="0.35">
      <c r="A217" s="39"/>
      <c r="B217" s="46"/>
      <c r="C217" s="46"/>
      <c r="D217" s="46"/>
      <c r="E217" s="46"/>
      <c r="F217" s="46"/>
      <c r="G217" s="46"/>
      <c r="H217" s="46"/>
      <c r="I217" s="46"/>
      <c r="J217" s="46"/>
      <c r="K217" s="47"/>
    </row>
    <row r="218" spans="1:11" x14ac:dyDescent="0.35">
      <c r="A218" s="39"/>
      <c r="B218" s="46"/>
      <c r="C218" s="46"/>
      <c r="D218" s="46"/>
      <c r="E218" s="46"/>
      <c r="F218" s="46"/>
      <c r="G218" s="46"/>
      <c r="H218" s="46"/>
      <c r="I218" s="46"/>
      <c r="J218" s="46"/>
      <c r="K218" s="47"/>
    </row>
    <row r="219" spans="1:11" x14ac:dyDescent="0.35">
      <c r="A219" s="39"/>
      <c r="B219" s="46"/>
      <c r="C219" s="46"/>
      <c r="D219" s="46"/>
      <c r="E219" s="46"/>
      <c r="F219" s="46"/>
      <c r="G219" s="46"/>
      <c r="H219" s="46"/>
      <c r="I219" s="46"/>
      <c r="J219" s="46"/>
      <c r="K219" s="47"/>
    </row>
    <row r="220" spans="1:11" x14ac:dyDescent="0.35">
      <c r="A220" s="39"/>
      <c r="B220" s="46"/>
      <c r="C220" s="46"/>
      <c r="D220" s="46"/>
      <c r="E220" s="46"/>
      <c r="F220" s="46"/>
      <c r="G220" s="46"/>
      <c r="H220" s="46"/>
      <c r="I220" s="46"/>
      <c r="J220" s="46"/>
      <c r="K220" s="47"/>
    </row>
    <row r="221" spans="1:11" x14ac:dyDescent="0.35">
      <c r="A221" s="39"/>
      <c r="B221" s="46"/>
      <c r="C221" s="46"/>
      <c r="D221" s="46"/>
      <c r="E221" s="46"/>
      <c r="F221" s="46"/>
      <c r="G221" s="46"/>
      <c r="H221" s="46"/>
      <c r="I221" s="46"/>
      <c r="J221" s="46"/>
      <c r="K221" s="47"/>
    </row>
    <row r="222" spans="1:11" x14ac:dyDescent="0.35">
      <c r="A222" s="39"/>
      <c r="B222" s="46"/>
      <c r="C222" s="46"/>
      <c r="D222" s="46"/>
      <c r="E222" s="46"/>
      <c r="F222" s="46"/>
      <c r="G222" s="46"/>
      <c r="H222" s="46"/>
      <c r="I222" s="46"/>
      <c r="J222" s="46"/>
      <c r="K222" s="47"/>
    </row>
    <row r="223" spans="1:11" x14ac:dyDescent="0.35">
      <c r="A223" s="39"/>
      <c r="B223" s="46"/>
      <c r="C223" s="46"/>
      <c r="D223" s="46"/>
      <c r="E223" s="46"/>
      <c r="F223" s="46"/>
      <c r="G223" s="46"/>
      <c r="H223" s="46"/>
      <c r="I223" s="46"/>
      <c r="J223" s="46"/>
      <c r="K223" s="47"/>
    </row>
    <row r="224" spans="1:11" x14ac:dyDescent="0.35">
      <c r="A224" s="39"/>
      <c r="B224" s="46"/>
      <c r="C224" s="46"/>
      <c r="D224" s="46"/>
      <c r="E224" s="46"/>
      <c r="F224" s="46"/>
      <c r="G224" s="46"/>
      <c r="H224" s="46"/>
      <c r="I224" s="46"/>
      <c r="J224" s="46"/>
      <c r="K224" s="47"/>
    </row>
    <row r="225" spans="1:11" x14ac:dyDescent="0.35">
      <c r="A225" s="39"/>
      <c r="B225" s="46"/>
      <c r="C225" s="46"/>
      <c r="D225" s="46"/>
      <c r="E225" s="46"/>
      <c r="F225" s="46"/>
      <c r="G225" s="46"/>
      <c r="H225" s="46"/>
      <c r="I225" s="46"/>
      <c r="J225" s="46"/>
      <c r="K225" s="47"/>
    </row>
    <row r="226" spans="1:11" x14ac:dyDescent="0.35">
      <c r="A226" s="39"/>
      <c r="B226" s="46"/>
      <c r="C226" s="46"/>
      <c r="D226" s="46"/>
      <c r="E226" s="46"/>
      <c r="F226" s="46"/>
      <c r="G226" s="46"/>
      <c r="H226" s="46"/>
      <c r="I226" s="46"/>
      <c r="J226" s="46"/>
      <c r="K226" s="47"/>
    </row>
    <row r="227" spans="1:11" x14ac:dyDescent="0.35">
      <c r="A227" s="39"/>
      <c r="B227" s="46"/>
      <c r="C227" s="46"/>
      <c r="D227" s="46"/>
      <c r="E227" s="46"/>
      <c r="F227" s="46"/>
      <c r="G227" s="46"/>
      <c r="H227" s="46"/>
      <c r="I227" s="46"/>
      <c r="J227" s="46"/>
      <c r="K227" s="47"/>
    </row>
    <row r="228" spans="1:11" x14ac:dyDescent="0.35">
      <c r="A228" s="39"/>
      <c r="B228" s="46"/>
      <c r="C228" s="46"/>
      <c r="D228" s="46"/>
      <c r="E228" s="46"/>
      <c r="F228" s="46"/>
      <c r="G228" s="46"/>
      <c r="H228" s="46"/>
      <c r="I228" s="46"/>
      <c r="J228" s="46"/>
      <c r="K228" s="47"/>
    </row>
    <row r="229" spans="1:11" x14ac:dyDescent="0.35">
      <c r="A229" s="39"/>
      <c r="B229" s="46"/>
      <c r="C229" s="46"/>
      <c r="D229" s="46"/>
      <c r="E229" s="46"/>
      <c r="F229" s="46"/>
      <c r="G229" s="46"/>
      <c r="H229" s="46"/>
      <c r="I229" s="46"/>
      <c r="J229" s="46"/>
      <c r="K229" s="47"/>
    </row>
    <row r="230" spans="1:11" x14ac:dyDescent="0.35">
      <c r="A230" s="39"/>
      <c r="B230" s="46"/>
      <c r="C230" s="46"/>
      <c r="D230" s="46"/>
      <c r="E230" s="46"/>
      <c r="F230" s="46"/>
      <c r="G230" s="46"/>
      <c r="H230" s="46"/>
      <c r="I230" s="46"/>
      <c r="J230" s="46"/>
      <c r="K230" s="47"/>
    </row>
    <row r="231" spans="1:11" x14ac:dyDescent="0.35">
      <c r="A231" s="39"/>
      <c r="B231" s="46"/>
      <c r="C231" s="46"/>
      <c r="D231" s="46"/>
      <c r="E231" s="46"/>
      <c r="F231" s="46"/>
      <c r="G231" s="46"/>
      <c r="H231" s="46"/>
      <c r="I231" s="46"/>
      <c r="J231" s="46"/>
      <c r="K231" s="47"/>
    </row>
    <row r="232" spans="1:11" x14ac:dyDescent="0.35">
      <c r="A232" s="39"/>
      <c r="B232" s="46"/>
      <c r="C232" s="46"/>
      <c r="D232" s="46"/>
      <c r="E232" s="46"/>
      <c r="F232" s="46"/>
      <c r="G232" s="46"/>
      <c r="H232" s="46"/>
      <c r="I232" s="46"/>
      <c r="J232" s="46"/>
      <c r="K232" s="47"/>
    </row>
    <row r="233" spans="1:11" x14ac:dyDescent="0.35">
      <c r="A233" s="39"/>
      <c r="B233" s="46"/>
      <c r="C233" s="46"/>
      <c r="D233" s="46"/>
      <c r="E233" s="46"/>
      <c r="F233" s="46"/>
      <c r="G233" s="46"/>
      <c r="H233" s="46"/>
      <c r="I233" s="46"/>
      <c r="J233" s="46"/>
      <c r="K233" s="47"/>
    </row>
    <row r="234" spans="1:11" x14ac:dyDescent="0.35">
      <c r="A234" s="39"/>
      <c r="B234" s="46"/>
      <c r="C234" s="46"/>
      <c r="D234" s="46"/>
      <c r="E234" s="46"/>
      <c r="F234" s="46"/>
      <c r="G234" s="46"/>
      <c r="H234" s="46"/>
      <c r="I234" s="46"/>
      <c r="J234" s="46"/>
      <c r="K234" s="47"/>
    </row>
    <row r="235" spans="1:11" x14ac:dyDescent="0.35">
      <c r="A235" s="39"/>
      <c r="B235" s="46"/>
      <c r="C235" s="46"/>
      <c r="D235" s="46"/>
      <c r="E235" s="46"/>
      <c r="F235" s="46"/>
      <c r="G235" s="46"/>
      <c r="H235" s="46"/>
      <c r="I235" s="46"/>
      <c r="J235" s="46"/>
      <c r="K235" s="47"/>
    </row>
    <row r="236" spans="1:11" x14ac:dyDescent="0.35">
      <c r="A236" s="39"/>
      <c r="B236" s="46"/>
      <c r="C236" s="46"/>
      <c r="D236" s="46"/>
      <c r="E236" s="46"/>
      <c r="F236" s="46"/>
      <c r="G236" s="46"/>
      <c r="H236" s="46"/>
      <c r="I236" s="46"/>
      <c r="J236" s="46"/>
      <c r="K236" s="47"/>
    </row>
    <row r="237" spans="1:11" x14ac:dyDescent="0.35">
      <c r="A237" s="39"/>
      <c r="B237" s="46"/>
      <c r="C237" s="46"/>
      <c r="D237" s="46"/>
      <c r="E237" s="46"/>
      <c r="F237" s="46"/>
      <c r="G237" s="46"/>
      <c r="H237" s="46"/>
      <c r="I237" s="46"/>
      <c r="J237" s="46"/>
      <c r="K237" s="47"/>
    </row>
    <row r="238" spans="1:11" x14ac:dyDescent="0.35">
      <c r="A238" s="39"/>
      <c r="B238" s="46"/>
      <c r="C238" s="46"/>
      <c r="D238" s="46"/>
      <c r="E238" s="46"/>
      <c r="F238" s="46"/>
      <c r="G238" s="46"/>
      <c r="H238" s="46"/>
      <c r="I238" s="46"/>
      <c r="J238" s="46"/>
      <c r="K238" s="47"/>
    </row>
    <row r="239" spans="1:11" x14ac:dyDescent="0.35">
      <c r="A239" s="39"/>
      <c r="B239" s="46"/>
      <c r="C239" s="46"/>
      <c r="D239" s="46"/>
      <c r="E239" s="46"/>
      <c r="F239" s="46"/>
      <c r="G239" s="46"/>
      <c r="H239" s="46"/>
      <c r="I239" s="46"/>
      <c r="J239" s="46"/>
      <c r="K239" s="47"/>
    </row>
    <row r="240" spans="1:11" x14ac:dyDescent="0.35">
      <c r="A240" s="39"/>
      <c r="B240" s="46"/>
      <c r="C240" s="46"/>
      <c r="D240" s="46"/>
      <c r="E240" s="46"/>
      <c r="F240" s="46"/>
      <c r="G240" s="46"/>
      <c r="H240" s="46"/>
      <c r="I240" s="46"/>
      <c r="J240" s="46"/>
      <c r="K240" s="47"/>
    </row>
    <row r="241" spans="1:11" x14ac:dyDescent="0.35">
      <c r="A241" s="39"/>
      <c r="B241" s="46"/>
      <c r="C241" s="46"/>
      <c r="D241" s="46"/>
      <c r="E241" s="46"/>
      <c r="F241" s="46"/>
      <c r="G241" s="46"/>
      <c r="H241" s="46"/>
      <c r="I241" s="46"/>
      <c r="J241" s="46"/>
      <c r="K241" s="47"/>
    </row>
    <row r="242" spans="1:11" x14ac:dyDescent="0.35">
      <c r="A242" s="39"/>
      <c r="B242" s="46"/>
      <c r="C242" s="46"/>
      <c r="D242" s="46"/>
      <c r="E242" s="46"/>
      <c r="F242" s="46"/>
      <c r="G242" s="46"/>
      <c r="H242" s="46"/>
      <c r="I242" s="46"/>
      <c r="J242" s="46"/>
      <c r="K242" s="47"/>
    </row>
    <row r="243" spans="1:11" x14ac:dyDescent="0.35">
      <c r="A243" s="39"/>
      <c r="B243" s="46"/>
      <c r="C243" s="46"/>
      <c r="D243" s="46"/>
      <c r="E243" s="46"/>
      <c r="F243" s="46"/>
      <c r="G243" s="46"/>
      <c r="H243" s="46"/>
      <c r="I243" s="46"/>
      <c r="J243" s="46"/>
      <c r="K243" s="47"/>
    </row>
    <row r="244" spans="1:11" x14ac:dyDescent="0.35">
      <c r="A244" s="39"/>
      <c r="B244" s="46"/>
      <c r="C244" s="46"/>
      <c r="D244" s="46"/>
      <c r="E244" s="46"/>
      <c r="F244" s="46"/>
      <c r="G244" s="46"/>
      <c r="H244" s="46"/>
      <c r="I244" s="46"/>
      <c r="J244" s="46"/>
      <c r="K244" s="47"/>
    </row>
    <row r="245" spans="1:11" x14ac:dyDescent="0.35">
      <c r="A245" s="39"/>
      <c r="B245" s="46"/>
      <c r="C245" s="46"/>
      <c r="D245" s="46"/>
      <c r="E245" s="46"/>
      <c r="F245" s="46"/>
      <c r="G245" s="46"/>
      <c r="H245" s="46"/>
      <c r="I245" s="46"/>
      <c r="J245" s="46"/>
      <c r="K245" s="47"/>
    </row>
    <row r="246" spans="1:11" x14ac:dyDescent="0.35">
      <c r="A246" s="39"/>
      <c r="B246" s="46"/>
      <c r="C246" s="46"/>
      <c r="D246" s="46"/>
      <c r="E246" s="46"/>
      <c r="F246" s="46"/>
      <c r="G246" s="46"/>
      <c r="H246" s="46"/>
      <c r="I246" s="46"/>
      <c r="J246" s="46"/>
      <c r="K246" s="47"/>
    </row>
    <row r="247" spans="1:11" x14ac:dyDescent="0.35">
      <c r="A247" s="39"/>
      <c r="B247" s="46"/>
      <c r="C247" s="46"/>
      <c r="D247" s="46"/>
      <c r="E247" s="46"/>
      <c r="F247" s="46"/>
      <c r="G247" s="46"/>
      <c r="H247" s="46"/>
      <c r="I247" s="46"/>
      <c r="J247" s="46"/>
      <c r="K247" s="47"/>
    </row>
    <row r="248" spans="1:11" x14ac:dyDescent="0.35">
      <c r="A248" s="39"/>
      <c r="B248" s="46"/>
      <c r="C248" s="46"/>
      <c r="D248" s="46"/>
      <c r="E248" s="46"/>
      <c r="F248" s="46"/>
      <c r="G248" s="46"/>
      <c r="H248" s="46"/>
      <c r="I248" s="46"/>
      <c r="J248" s="46"/>
      <c r="K248" s="47"/>
    </row>
    <row r="249" spans="1:11" x14ac:dyDescent="0.35">
      <c r="A249" s="39"/>
      <c r="B249" s="46"/>
      <c r="C249" s="46"/>
      <c r="D249" s="46"/>
      <c r="E249" s="46"/>
      <c r="F249" s="46"/>
      <c r="G249" s="46"/>
      <c r="H249" s="46"/>
      <c r="I249" s="46"/>
      <c r="J249" s="46"/>
      <c r="K249" s="47"/>
    </row>
    <row r="250" spans="1:11" x14ac:dyDescent="0.35">
      <c r="A250" s="39"/>
      <c r="B250" s="46"/>
      <c r="C250" s="46"/>
      <c r="D250" s="46"/>
      <c r="E250" s="46"/>
      <c r="F250" s="46"/>
      <c r="G250" s="46"/>
      <c r="H250" s="46"/>
      <c r="I250" s="46"/>
      <c r="J250" s="46"/>
      <c r="K250" s="47"/>
    </row>
    <row r="251" spans="1:11" x14ac:dyDescent="0.35">
      <c r="A251" s="39"/>
      <c r="B251" s="46"/>
      <c r="C251" s="46"/>
      <c r="D251" s="46"/>
      <c r="E251" s="46"/>
      <c r="F251" s="46"/>
      <c r="G251" s="46"/>
      <c r="H251" s="46"/>
      <c r="I251" s="46"/>
      <c r="J251" s="46"/>
      <c r="K251" s="47"/>
    </row>
    <row r="252" spans="1:11" x14ac:dyDescent="0.35">
      <c r="A252" s="39"/>
      <c r="B252" s="46"/>
      <c r="C252" s="46"/>
      <c r="D252" s="46"/>
      <c r="E252" s="46"/>
      <c r="F252" s="46"/>
      <c r="G252" s="46"/>
      <c r="H252" s="46"/>
      <c r="I252" s="46"/>
      <c r="J252" s="46"/>
      <c r="K252" s="47"/>
    </row>
    <row r="253" spans="1:11" x14ac:dyDescent="0.35">
      <c r="A253" s="39"/>
      <c r="B253" s="46"/>
      <c r="C253" s="46"/>
      <c r="D253" s="46"/>
      <c r="E253" s="46"/>
      <c r="F253" s="46"/>
      <c r="G253" s="46"/>
      <c r="H253" s="46"/>
      <c r="I253" s="46"/>
      <c r="J253" s="46"/>
      <c r="K253" s="47"/>
    </row>
    <row r="254" spans="1:11" x14ac:dyDescent="0.35">
      <c r="A254" s="39"/>
      <c r="B254" s="46"/>
      <c r="C254" s="46"/>
      <c r="D254" s="46"/>
      <c r="E254" s="46"/>
      <c r="F254" s="46"/>
      <c r="G254" s="46"/>
      <c r="H254" s="46"/>
      <c r="I254" s="46"/>
      <c r="J254" s="46"/>
      <c r="K254" s="47"/>
    </row>
    <row r="255" spans="1:11" x14ac:dyDescent="0.35">
      <c r="A255" s="39"/>
      <c r="B255" s="46"/>
      <c r="C255" s="46"/>
      <c r="D255" s="46"/>
      <c r="E255" s="46"/>
      <c r="F255" s="46"/>
      <c r="G255" s="46"/>
      <c r="H255" s="46"/>
      <c r="I255" s="46"/>
      <c r="J255" s="46"/>
      <c r="K255" s="47"/>
    </row>
    <row r="256" spans="1:11" x14ac:dyDescent="0.35">
      <c r="A256" s="39"/>
      <c r="B256" s="46"/>
      <c r="C256" s="46"/>
      <c r="D256" s="46"/>
      <c r="E256" s="46"/>
      <c r="F256" s="46"/>
      <c r="G256" s="46"/>
      <c r="H256" s="46"/>
      <c r="I256" s="46"/>
      <c r="J256" s="46"/>
      <c r="K256" s="47"/>
    </row>
    <row r="257" spans="1:11" x14ac:dyDescent="0.35">
      <c r="A257" s="39"/>
      <c r="B257" s="46"/>
      <c r="C257" s="46"/>
      <c r="D257" s="46"/>
      <c r="E257" s="46"/>
      <c r="F257" s="46"/>
      <c r="G257" s="46"/>
      <c r="H257" s="46"/>
      <c r="I257" s="46"/>
      <c r="J257" s="46"/>
      <c r="K257" s="47"/>
    </row>
    <row r="258" spans="1:11" x14ac:dyDescent="0.35">
      <c r="A258" s="39"/>
      <c r="B258" s="46"/>
      <c r="C258" s="46"/>
      <c r="D258" s="46"/>
      <c r="E258" s="46"/>
      <c r="F258" s="46"/>
      <c r="G258" s="46"/>
      <c r="H258" s="46"/>
      <c r="I258" s="46"/>
      <c r="J258" s="46"/>
      <c r="K258" s="47"/>
    </row>
    <row r="259" spans="1:11" x14ac:dyDescent="0.35">
      <c r="A259" s="39"/>
      <c r="B259" s="46"/>
      <c r="C259" s="46"/>
      <c r="D259" s="46"/>
      <c r="E259" s="46"/>
      <c r="F259" s="46"/>
      <c r="G259" s="46"/>
      <c r="H259" s="46"/>
      <c r="I259" s="46"/>
      <c r="J259" s="46"/>
      <c r="K259" s="47"/>
    </row>
    <row r="260" spans="1:11" x14ac:dyDescent="0.35">
      <c r="A260" s="39"/>
      <c r="B260" s="46"/>
      <c r="C260" s="46"/>
      <c r="D260" s="46"/>
      <c r="E260" s="46"/>
      <c r="F260" s="46"/>
      <c r="G260" s="46"/>
      <c r="H260" s="46"/>
      <c r="I260" s="46"/>
      <c r="J260" s="46"/>
      <c r="K260" s="47"/>
    </row>
    <row r="261" spans="1:11" x14ac:dyDescent="0.35">
      <c r="A261" s="39"/>
      <c r="B261" s="46"/>
      <c r="C261" s="46"/>
      <c r="D261" s="46"/>
      <c r="E261" s="46"/>
      <c r="F261" s="46"/>
      <c r="G261" s="46"/>
      <c r="H261" s="46"/>
      <c r="I261" s="46"/>
      <c r="J261" s="46"/>
      <c r="K261" s="47"/>
    </row>
    <row r="262" spans="1:11" x14ac:dyDescent="0.35">
      <c r="A262" s="39"/>
      <c r="B262" s="46"/>
      <c r="C262" s="46"/>
      <c r="D262" s="46"/>
      <c r="E262" s="46"/>
      <c r="F262" s="46"/>
      <c r="G262" s="46"/>
      <c r="H262" s="46"/>
      <c r="I262" s="46"/>
      <c r="J262" s="46"/>
      <c r="K262" s="47"/>
    </row>
    <row r="263" spans="1:11" x14ac:dyDescent="0.35">
      <c r="A263" s="39"/>
      <c r="B263" s="46"/>
      <c r="C263" s="46"/>
      <c r="D263" s="46"/>
      <c r="E263" s="46"/>
      <c r="F263" s="46"/>
      <c r="G263" s="46"/>
      <c r="H263" s="46"/>
      <c r="I263" s="46"/>
      <c r="J263" s="46"/>
      <c r="K263" s="47"/>
    </row>
    <row r="264" spans="1:11" x14ac:dyDescent="0.35">
      <c r="A264" s="39"/>
      <c r="B264" s="46"/>
      <c r="C264" s="46"/>
      <c r="D264" s="46"/>
      <c r="E264" s="46"/>
      <c r="F264" s="46"/>
      <c r="G264" s="46"/>
      <c r="H264" s="46"/>
      <c r="I264" s="46"/>
      <c r="J264" s="46"/>
      <c r="K264" s="47"/>
    </row>
    <row r="265" spans="1:11" x14ac:dyDescent="0.35">
      <c r="A265" s="39"/>
      <c r="B265" s="46"/>
      <c r="C265" s="46"/>
      <c r="D265" s="46"/>
      <c r="E265" s="46"/>
      <c r="F265" s="46"/>
      <c r="G265" s="46"/>
      <c r="H265" s="46"/>
      <c r="I265" s="46"/>
      <c r="J265" s="46"/>
      <c r="K265" s="47"/>
    </row>
    <row r="266" spans="1:11" x14ac:dyDescent="0.35">
      <c r="A266" s="39"/>
      <c r="B266" s="46"/>
      <c r="C266" s="46"/>
      <c r="D266" s="46"/>
      <c r="E266" s="46"/>
      <c r="F266" s="46"/>
      <c r="G266" s="46"/>
      <c r="H266" s="46"/>
      <c r="I266" s="46"/>
      <c r="J266" s="46"/>
      <c r="K266" s="47"/>
    </row>
    <row r="267" spans="1:11" x14ac:dyDescent="0.35">
      <c r="A267" s="39"/>
      <c r="B267" s="46"/>
      <c r="C267" s="46"/>
      <c r="D267" s="46"/>
      <c r="E267" s="46"/>
      <c r="F267" s="46"/>
      <c r="G267" s="46"/>
      <c r="H267" s="46"/>
      <c r="I267" s="46"/>
      <c r="J267" s="46"/>
      <c r="K267" s="47"/>
    </row>
    <row r="268" spans="1:11" x14ac:dyDescent="0.35">
      <c r="A268" s="39"/>
      <c r="B268" s="46"/>
      <c r="C268" s="46"/>
      <c r="D268" s="46"/>
      <c r="E268" s="46"/>
      <c r="F268" s="46"/>
      <c r="G268" s="46"/>
      <c r="H268" s="46"/>
      <c r="I268" s="46"/>
      <c r="J268" s="46"/>
      <c r="K268" s="47"/>
    </row>
    <row r="269" spans="1:11" x14ac:dyDescent="0.35">
      <c r="A269" s="39"/>
      <c r="B269" s="46"/>
      <c r="C269" s="46"/>
      <c r="D269" s="46"/>
      <c r="E269" s="46"/>
      <c r="F269" s="46"/>
      <c r="G269" s="46"/>
      <c r="H269" s="46"/>
      <c r="I269" s="46"/>
      <c r="J269" s="46"/>
      <c r="K269" s="47"/>
    </row>
    <row r="270" spans="1:11" x14ac:dyDescent="0.35">
      <c r="A270" s="39"/>
      <c r="B270" s="46"/>
      <c r="C270" s="46"/>
      <c r="D270" s="46"/>
      <c r="E270" s="46"/>
      <c r="F270" s="46"/>
      <c r="G270" s="46"/>
      <c r="H270" s="46"/>
      <c r="I270" s="46"/>
      <c r="J270" s="46"/>
      <c r="K270" s="47"/>
    </row>
    <row r="271" spans="1:11" x14ac:dyDescent="0.35">
      <c r="A271" s="39"/>
      <c r="B271" s="46"/>
      <c r="C271" s="46"/>
      <c r="D271" s="46"/>
      <c r="E271" s="46"/>
      <c r="F271" s="46"/>
      <c r="G271" s="46"/>
      <c r="H271" s="46"/>
      <c r="I271" s="46"/>
      <c r="J271" s="46"/>
      <c r="K271" s="47"/>
    </row>
    <row r="272" spans="1:11" x14ac:dyDescent="0.35">
      <c r="A272" s="39"/>
      <c r="B272" s="46"/>
      <c r="C272" s="46"/>
      <c r="D272" s="46"/>
      <c r="E272" s="46"/>
      <c r="F272" s="46"/>
      <c r="G272" s="46"/>
      <c r="H272" s="46"/>
      <c r="I272" s="46"/>
      <c r="J272" s="46"/>
      <c r="K272" s="47"/>
    </row>
    <row r="273" spans="1:11" x14ac:dyDescent="0.35">
      <c r="A273" s="39"/>
      <c r="B273" s="46"/>
      <c r="C273" s="46"/>
      <c r="D273" s="46"/>
      <c r="E273" s="46"/>
      <c r="F273" s="46"/>
      <c r="G273" s="46"/>
      <c r="H273" s="46"/>
      <c r="I273" s="46"/>
      <c r="J273" s="46"/>
      <c r="K273" s="47"/>
    </row>
    <row r="274" spans="1:11" x14ac:dyDescent="0.35">
      <c r="A274" s="39"/>
      <c r="B274" s="46"/>
      <c r="C274" s="46"/>
      <c r="D274" s="46"/>
      <c r="E274" s="46"/>
      <c r="F274" s="46"/>
      <c r="G274" s="46"/>
      <c r="H274" s="46"/>
      <c r="I274" s="46"/>
      <c r="J274" s="46"/>
      <c r="K274" s="47"/>
    </row>
    <row r="275" spans="1:11" x14ac:dyDescent="0.35">
      <c r="A275" s="39"/>
      <c r="B275" s="46"/>
      <c r="C275" s="46"/>
      <c r="D275" s="46"/>
      <c r="E275" s="46"/>
      <c r="F275" s="46"/>
      <c r="G275" s="46"/>
      <c r="H275" s="46"/>
      <c r="I275" s="46"/>
      <c r="J275" s="46"/>
      <c r="K275" s="47"/>
    </row>
    <row r="276" spans="1:11" x14ac:dyDescent="0.35">
      <c r="A276" s="39"/>
      <c r="B276" s="46"/>
      <c r="C276" s="46"/>
      <c r="D276" s="46"/>
      <c r="E276" s="46"/>
      <c r="F276" s="46"/>
      <c r="G276" s="46"/>
      <c r="H276" s="46"/>
      <c r="I276" s="46"/>
      <c r="J276" s="46"/>
      <c r="K276" s="47"/>
    </row>
    <row r="277" spans="1:11" x14ac:dyDescent="0.35">
      <c r="A277" s="39"/>
      <c r="B277" s="46"/>
      <c r="C277" s="46"/>
      <c r="D277" s="46"/>
      <c r="E277" s="46"/>
      <c r="F277" s="46"/>
      <c r="G277" s="46"/>
      <c r="H277" s="46"/>
      <c r="I277" s="46"/>
      <c r="J277" s="46"/>
      <c r="K277" s="47"/>
    </row>
    <row r="278" spans="1:11" x14ac:dyDescent="0.35">
      <c r="A278" s="39"/>
      <c r="B278" s="46"/>
      <c r="C278" s="46"/>
      <c r="D278" s="46"/>
      <c r="E278" s="46"/>
      <c r="F278" s="46"/>
      <c r="G278" s="46"/>
      <c r="H278" s="46"/>
      <c r="I278" s="46"/>
      <c r="J278" s="46"/>
      <c r="K278" s="47"/>
    </row>
    <row r="279" spans="1:11" x14ac:dyDescent="0.35">
      <c r="A279" s="39"/>
      <c r="B279" s="46"/>
      <c r="C279" s="46"/>
      <c r="D279" s="46"/>
      <c r="E279" s="46"/>
      <c r="F279" s="46"/>
      <c r="G279" s="46"/>
      <c r="H279" s="46"/>
      <c r="I279" s="46"/>
      <c r="J279" s="46"/>
      <c r="K279" s="47"/>
    </row>
    <row r="280" spans="1:11" x14ac:dyDescent="0.35">
      <c r="A280" s="39"/>
      <c r="B280" s="46"/>
      <c r="C280" s="46"/>
      <c r="D280" s="46"/>
      <c r="E280" s="46"/>
      <c r="F280" s="46"/>
      <c r="G280" s="46"/>
      <c r="H280" s="46"/>
      <c r="I280" s="46"/>
      <c r="J280" s="46"/>
      <c r="K280" s="47"/>
    </row>
    <row r="281" spans="1:11" x14ac:dyDescent="0.35">
      <c r="A281" s="39"/>
      <c r="B281" s="46"/>
      <c r="C281" s="46"/>
      <c r="D281" s="46"/>
      <c r="E281" s="46"/>
      <c r="F281" s="46"/>
      <c r="G281" s="46"/>
      <c r="H281" s="46"/>
      <c r="I281" s="46"/>
      <c r="J281" s="46"/>
      <c r="K281" s="47"/>
    </row>
    <row r="282" spans="1:11" x14ac:dyDescent="0.35">
      <c r="A282" s="39"/>
      <c r="B282" s="46"/>
      <c r="C282" s="46"/>
      <c r="D282" s="46"/>
      <c r="E282" s="46"/>
      <c r="F282" s="46"/>
      <c r="G282" s="46"/>
      <c r="H282" s="46"/>
      <c r="I282" s="46"/>
      <c r="J282" s="46"/>
      <c r="K282" s="47"/>
    </row>
    <row r="283" spans="1:11" x14ac:dyDescent="0.35">
      <c r="A283" s="39"/>
      <c r="B283" s="46"/>
      <c r="C283" s="46"/>
      <c r="D283" s="46"/>
      <c r="E283" s="46"/>
      <c r="F283" s="46"/>
      <c r="G283" s="46"/>
      <c r="H283" s="46"/>
      <c r="I283" s="46"/>
      <c r="J283" s="46"/>
      <c r="K283" s="47"/>
    </row>
    <row r="284" spans="1:11" x14ac:dyDescent="0.35">
      <c r="A284" s="39"/>
      <c r="B284" s="46"/>
      <c r="C284" s="46"/>
      <c r="D284" s="46"/>
      <c r="E284" s="46"/>
      <c r="F284" s="46"/>
      <c r="G284" s="46"/>
      <c r="H284" s="46"/>
      <c r="I284" s="46"/>
      <c r="J284" s="46"/>
      <c r="K284" s="47"/>
    </row>
    <row r="285" spans="1:11" x14ac:dyDescent="0.35">
      <c r="A285" s="39"/>
      <c r="B285" s="46"/>
      <c r="C285" s="46"/>
      <c r="D285" s="46"/>
      <c r="E285" s="46"/>
      <c r="F285" s="46"/>
      <c r="G285" s="46"/>
      <c r="H285" s="46"/>
      <c r="I285" s="46"/>
      <c r="J285" s="46"/>
      <c r="K285" s="47"/>
    </row>
    <row r="286" spans="1:11" x14ac:dyDescent="0.35">
      <c r="A286" s="39"/>
      <c r="B286" s="46"/>
      <c r="C286" s="46"/>
      <c r="D286" s="46"/>
      <c r="E286" s="46"/>
      <c r="F286" s="46"/>
      <c r="G286" s="46"/>
      <c r="H286" s="46"/>
      <c r="I286" s="46"/>
      <c r="J286" s="46"/>
      <c r="K286" s="47"/>
    </row>
    <row r="287" spans="1:11" x14ac:dyDescent="0.35">
      <c r="A287" s="39"/>
      <c r="B287" s="46"/>
      <c r="C287" s="46"/>
      <c r="D287" s="46"/>
      <c r="E287" s="46"/>
      <c r="F287" s="46"/>
      <c r="G287" s="46"/>
      <c r="H287" s="46"/>
      <c r="I287" s="46"/>
      <c r="J287" s="46"/>
      <c r="K287" s="47"/>
    </row>
    <row r="288" spans="1:11" x14ac:dyDescent="0.35">
      <c r="A288" s="39"/>
      <c r="B288" s="46"/>
      <c r="C288" s="46"/>
      <c r="D288" s="46"/>
      <c r="E288" s="46"/>
      <c r="F288" s="46"/>
      <c r="G288" s="46"/>
      <c r="H288" s="46"/>
      <c r="I288" s="46"/>
      <c r="J288" s="46"/>
      <c r="K288" s="47"/>
    </row>
    <row r="289" spans="1:11" x14ac:dyDescent="0.35">
      <c r="A289" s="39"/>
      <c r="B289" s="46"/>
      <c r="C289" s="46"/>
      <c r="D289" s="46"/>
      <c r="E289" s="46"/>
      <c r="F289" s="46"/>
      <c r="G289" s="46"/>
      <c r="H289" s="46"/>
      <c r="I289" s="46"/>
      <c r="J289" s="46"/>
      <c r="K289" s="47"/>
    </row>
    <row r="290" spans="1:11" x14ac:dyDescent="0.35">
      <c r="A290" s="39"/>
      <c r="B290" s="46"/>
      <c r="C290" s="46"/>
      <c r="D290" s="46"/>
      <c r="E290" s="46"/>
      <c r="F290" s="46"/>
      <c r="G290" s="46"/>
      <c r="H290" s="46"/>
      <c r="I290" s="46"/>
      <c r="J290" s="46"/>
      <c r="K290" s="47"/>
    </row>
    <row r="291" spans="1:11" x14ac:dyDescent="0.35">
      <c r="A291" s="39"/>
      <c r="B291" s="46"/>
      <c r="C291" s="46"/>
      <c r="D291" s="46"/>
      <c r="E291" s="46"/>
      <c r="F291" s="46"/>
      <c r="G291" s="46"/>
      <c r="H291" s="46"/>
      <c r="I291" s="46"/>
      <c r="J291" s="46"/>
      <c r="K291" s="47"/>
    </row>
    <row r="292" spans="1:11" x14ac:dyDescent="0.35">
      <c r="A292" s="39"/>
      <c r="B292" s="46"/>
      <c r="C292" s="46"/>
      <c r="D292" s="46"/>
      <c r="E292" s="46"/>
      <c r="F292" s="46"/>
      <c r="G292" s="46"/>
      <c r="H292" s="46"/>
      <c r="I292" s="46"/>
      <c r="J292" s="46"/>
      <c r="K292" s="47"/>
    </row>
    <row r="293" spans="1:11" x14ac:dyDescent="0.35">
      <c r="A293" s="39"/>
      <c r="B293" s="46"/>
      <c r="C293" s="46"/>
      <c r="D293" s="46"/>
      <c r="E293" s="46"/>
      <c r="F293" s="46"/>
      <c r="G293" s="46"/>
      <c r="H293" s="46"/>
      <c r="I293" s="46"/>
      <c r="J293" s="46"/>
      <c r="K293" s="47"/>
    </row>
    <row r="294" spans="1:11" x14ac:dyDescent="0.35">
      <c r="A294" s="39"/>
      <c r="B294" s="46"/>
      <c r="C294" s="46"/>
      <c r="D294" s="46"/>
      <c r="E294" s="46"/>
      <c r="F294" s="46"/>
      <c r="G294" s="46"/>
      <c r="H294" s="46"/>
      <c r="I294" s="46"/>
      <c r="J294" s="46"/>
      <c r="K294" s="47"/>
    </row>
    <row r="295" spans="1:11" x14ac:dyDescent="0.35">
      <c r="A295" s="39"/>
      <c r="B295" s="46"/>
      <c r="C295" s="46"/>
      <c r="D295" s="46"/>
      <c r="E295" s="46"/>
      <c r="F295" s="46"/>
      <c r="G295" s="46"/>
      <c r="H295" s="46"/>
      <c r="I295" s="46"/>
      <c r="J295" s="46"/>
      <c r="K295" s="47"/>
    </row>
    <row r="296" spans="1:11" x14ac:dyDescent="0.35">
      <c r="A296" s="39"/>
      <c r="B296" s="46"/>
      <c r="C296" s="46"/>
      <c r="D296" s="46"/>
      <c r="E296" s="46"/>
      <c r="F296" s="46"/>
      <c r="G296" s="46"/>
      <c r="H296" s="46"/>
      <c r="I296" s="46"/>
      <c r="J296" s="46"/>
      <c r="K296" s="47"/>
    </row>
    <row r="297" spans="1:11" x14ac:dyDescent="0.35">
      <c r="A297" s="39"/>
      <c r="B297" s="46"/>
      <c r="C297" s="46"/>
      <c r="D297" s="46"/>
      <c r="E297" s="46"/>
      <c r="F297" s="46"/>
      <c r="G297" s="46"/>
      <c r="H297" s="46"/>
      <c r="I297" s="46"/>
      <c r="J297" s="46"/>
      <c r="K297" s="47"/>
    </row>
    <row r="298" spans="1:11" x14ac:dyDescent="0.35">
      <c r="A298" s="39"/>
      <c r="B298" s="46"/>
      <c r="C298" s="46"/>
      <c r="D298" s="46"/>
      <c r="E298" s="46"/>
      <c r="F298" s="46"/>
      <c r="G298" s="46"/>
      <c r="H298" s="46"/>
      <c r="I298" s="46"/>
      <c r="J298" s="46"/>
      <c r="K298" s="47"/>
    </row>
    <row r="299" spans="1:11" x14ac:dyDescent="0.35">
      <c r="A299" s="39"/>
      <c r="B299" s="46"/>
      <c r="C299" s="46"/>
      <c r="D299" s="46"/>
      <c r="E299" s="46"/>
      <c r="F299" s="46"/>
      <c r="G299" s="46"/>
      <c r="H299" s="46"/>
      <c r="I299" s="46"/>
      <c r="J299" s="46"/>
      <c r="K299" s="47"/>
    </row>
    <row r="300" spans="1:11" x14ac:dyDescent="0.35">
      <c r="A300" s="39"/>
      <c r="B300" s="46"/>
      <c r="C300" s="46"/>
      <c r="D300" s="46"/>
      <c r="E300" s="46"/>
      <c r="F300" s="46"/>
      <c r="G300" s="46"/>
      <c r="H300" s="46"/>
      <c r="I300" s="46"/>
      <c r="J300" s="46"/>
      <c r="K300" s="47"/>
    </row>
    <row r="301" spans="1:11" x14ac:dyDescent="0.35">
      <c r="A301" s="39"/>
      <c r="B301" s="46"/>
      <c r="C301" s="46"/>
      <c r="D301" s="46"/>
      <c r="E301" s="46"/>
      <c r="F301" s="46"/>
      <c r="G301" s="46"/>
      <c r="H301" s="46"/>
      <c r="I301" s="46"/>
      <c r="J301" s="46"/>
      <c r="K301" s="47"/>
    </row>
    <row r="302" spans="1:11" x14ac:dyDescent="0.35">
      <c r="A302" s="39"/>
      <c r="B302" s="46"/>
      <c r="C302" s="46"/>
      <c r="D302" s="46"/>
      <c r="E302" s="46"/>
      <c r="F302" s="46"/>
      <c r="G302" s="46"/>
      <c r="H302" s="46"/>
      <c r="I302" s="46"/>
      <c r="J302" s="46"/>
      <c r="K302" s="47"/>
    </row>
    <row r="303" spans="1:11" x14ac:dyDescent="0.35">
      <c r="A303" s="39"/>
      <c r="B303" s="46"/>
      <c r="C303" s="46"/>
      <c r="D303" s="46"/>
      <c r="E303" s="46"/>
      <c r="F303" s="46"/>
      <c r="G303" s="46"/>
      <c r="H303" s="46"/>
      <c r="I303" s="46"/>
      <c r="J303" s="46"/>
      <c r="K303" s="47"/>
    </row>
    <row r="304" spans="1:11" x14ac:dyDescent="0.35">
      <c r="A304" s="39"/>
      <c r="B304" s="46"/>
      <c r="C304" s="46"/>
      <c r="D304" s="46"/>
      <c r="E304" s="46"/>
      <c r="F304" s="46"/>
      <c r="G304" s="46"/>
      <c r="H304" s="46"/>
      <c r="I304" s="46"/>
      <c r="J304" s="46"/>
      <c r="K304" s="47"/>
    </row>
    <row r="305" spans="1:11" x14ac:dyDescent="0.35">
      <c r="A305" s="39"/>
      <c r="B305" s="46"/>
      <c r="C305" s="46"/>
      <c r="D305" s="46"/>
      <c r="E305" s="46"/>
      <c r="F305" s="46"/>
      <c r="G305" s="46"/>
      <c r="H305" s="46"/>
      <c r="I305" s="46"/>
      <c r="J305" s="46"/>
      <c r="K305" s="47"/>
    </row>
    <row r="306" spans="1:11" x14ac:dyDescent="0.35">
      <c r="A306" s="39"/>
      <c r="B306" s="46"/>
      <c r="C306" s="46"/>
      <c r="D306" s="46"/>
      <c r="E306" s="46"/>
      <c r="F306" s="46"/>
      <c r="G306" s="46"/>
      <c r="H306" s="46"/>
      <c r="I306" s="46"/>
      <c r="J306" s="46"/>
      <c r="K306" s="47"/>
    </row>
    <row r="307" spans="1:11" x14ac:dyDescent="0.35">
      <c r="A307" s="39"/>
      <c r="B307" s="46"/>
      <c r="C307" s="46"/>
      <c r="D307" s="46"/>
      <c r="E307" s="46"/>
      <c r="F307" s="46"/>
      <c r="G307" s="46"/>
      <c r="H307" s="46"/>
      <c r="I307" s="46"/>
      <c r="J307" s="46"/>
      <c r="K307" s="47"/>
    </row>
    <row r="308" spans="1:11" x14ac:dyDescent="0.35">
      <c r="A308" s="39"/>
      <c r="B308" s="46"/>
      <c r="C308" s="46"/>
      <c r="D308" s="46"/>
      <c r="E308" s="46"/>
      <c r="F308" s="46"/>
      <c r="G308" s="46"/>
      <c r="H308" s="46"/>
      <c r="I308" s="46"/>
      <c r="J308" s="46"/>
      <c r="K308" s="47"/>
    </row>
    <row r="309" spans="1:11" x14ac:dyDescent="0.35">
      <c r="A309" s="39"/>
      <c r="B309" s="46"/>
      <c r="C309" s="46"/>
      <c r="D309" s="46"/>
      <c r="E309" s="46"/>
      <c r="F309" s="46"/>
      <c r="G309" s="46"/>
      <c r="H309" s="46"/>
      <c r="I309" s="46"/>
      <c r="J309" s="46"/>
      <c r="K309" s="47"/>
    </row>
    <row r="310" spans="1:11" x14ac:dyDescent="0.35">
      <c r="A310" s="39"/>
      <c r="B310" s="46"/>
      <c r="C310" s="46"/>
      <c r="D310" s="46"/>
      <c r="E310" s="46"/>
      <c r="F310" s="46"/>
      <c r="G310" s="46"/>
      <c r="H310" s="46"/>
      <c r="I310" s="46"/>
      <c r="J310" s="46"/>
      <c r="K310" s="47"/>
    </row>
    <row r="311" spans="1:11" x14ac:dyDescent="0.35">
      <c r="A311" s="39"/>
      <c r="B311" s="46"/>
      <c r="C311" s="46"/>
      <c r="D311" s="46"/>
      <c r="E311" s="46"/>
      <c r="F311" s="46"/>
      <c r="G311" s="46"/>
      <c r="H311" s="46"/>
      <c r="I311" s="46"/>
      <c r="J311" s="46"/>
      <c r="K311" s="47"/>
    </row>
    <row r="312" spans="1:11" x14ac:dyDescent="0.35">
      <c r="A312" s="39"/>
      <c r="B312" s="46"/>
      <c r="C312" s="46"/>
      <c r="D312" s="46"/>
      <c r="E312" s="46"/>
      <c r="F312" s="46"/>
      <c r="G312" s="46"/>
      <c r="H312" s="46"/>
      <c r="I312" s="46"/>
      <c r="J312" s="46"/>
      <c r="K312" s="47"/>
    </row>
    <row r="313" spans="1:11" x14ac:dyDescent="0.35">
      <c r="A313" s="39"/>
      <c r="B313" s="46"/>
      <c r="C313" s="46"/>
      <c r="D313" s="46"/>
      <c r="E313" s="46"/>
      <c r="F313" s="46"/>
      <c r="G313" s="46"/>
      <c r="H313" s="46"/>
      <c r="I313" s="46"/>
      <c r="J313" s="46"/>
      <c r="K313" s="47"/>
    </row>
    <row r="314" spans="1:11" x14ac:dyDescent="0.35">
      <c r="A314" s="39"/>
      <c r="B314" s="46"/>
      <c r="C314" s="46"/>
      <c r="D314" s="46"/>
      <c r="E314" s="46"/>
      <c r="F314" s="46"/>
      <c r="G314" s="46"/>
      <c r="H314" s="46"/>
      <c r="I314" s="46"/>
      <c r="J314" s="46"/>
      <c r="K314" s="47"/>
    </row>
    <row r="315" spans="1:11" x14ac:dyDescent="0.35">
      <c r="A315" s="39"/>
      <c r="B315" s="46"/>
      <c r="C315" s="46"/>
      <c r="D315" s="46"/>
      <c r="E315" s="46"/>
      <c r="F315" s="46"/>
      <c r="G315" s="46"/>
      <c r="H315" s="46"/>
      <c r="I315" s="46"/>
      <c r="J315" s="46"/>
      <c r="K315" s="47"/>
    </row>
    <row r="316" spans="1:11" x14ac:dyDescent="0.35">
      <c r="A316" s="39"/>
      <c r="B316" s="46"/>
      <c r="C316" s="46"/>
      <c r="D316" s="46"/>
      <c r="E316" s="46"/>
      <c r="F316" s="46"/>
      <c r="G316" s="46"/>
      <c r="H316" s="46"/>
      <c r="I316" s="46"/>
      <c r="J316" s="46"/>
      <c r="K316" s="47"/>
    </row>
    <row r="317" spans="1:11" x14ac:dyDescent="0.35">
      <c r="A317" s="39"/>
      <c r="B317" s="46"/>
      <c r="C317" s="46"/>
      <c r="D317" s="46"/>
      <c r="E317" s="46"/>
      <c r="F317" s="46"/>
      <c r="G317" s="46"/>
      <c r="H317" s="46"/>
      <c r="I317" s="46"/>
      <c r="J317" s="46"/>
      <c r="K317" s="47"/>
    </row>
    <row r="318" spans="1:11" x14ac:dyDescent="0.35">
      <c r="A318" s="39"/>
      <c r="B318" s="46"/>
      <c r="C318" s="46"/>
      <c r="D318" s="46"/>
      <c r="E318" s="46"/>
      <c r="F318" s="46"/>
      <c r="G318" s="46"/>
      <c r="H318" s="46"/>
      <c r="I318" s="46"/>
      <c r="J318" s="46"/>
      <c r="K318" s="47"/>
    </row>
    <row r="319" spans="1:11" x14ac:dyDescent="0.35">
      <c r="A319" s="39"/>
      <c r="B319" s="46"/>
      <c r="C319" s="46"/>
      <c r="D319" s="46"/>
      <c r="E319" s="46"/>
      <c r="F319" s="46"/>
      <c r="G319" s="46"/>
      <c r="H319" s="46"/>
      <c r="I319" s="46"/>
      <c r="J319" s="46"/>
      <c r="K319" s="47"/>
    </row>
    <row r="320" spans="1:11" x14ac:dyDescent="0.35">
      <c r="A320" s="39"/>
      <c r="B320" s="46"/>
      <c r="C320" s="46"/>
      <c r="D320" s="46"/>
      <c r="E320" s="46"/>
      <c r="F320" s="46"/>
      <c r="G320" s="46"/>
      <c r="H320" s="46"/>
      <c r="I320" s="46"/>
      <c r="J320" s="46"/>
      <c r="K320" s="47"/>
    </row>
    <row r="321" spans="1:11" x14ac:dyDescent="0.35">
      <c r="A321" s="39"/>
      <c r="B321" s="46"/>
      <c r="C321" s="46"/>
      <c r="D321" s="46"/>
      <c r="E321" s="46"/>
      <c r="F321" s="46"/>
      <c r="G321" s="46"/>
      <c r="H321" s="46"/>
      <c r="I321" s="46"/>
      <c r="J321" s="46"/>
      <c r="K321" s="47"/>
    </row>
    <row r="322" spans="1:11" x14ac:dyDescent="0.35">
      <c r="A322" s="39"/>
      <c r="B322" s="46"/>
      <c r="C322" s="46"/>
      <c r="D322" s="46"/>
      <c r="E322" s="46"/>
      <c r="F322" s="46"/>
      <c r="G322" s="46"/>
      <c r="H322" s="46"/>
      <c r="I322" s="46"/>
      <c r="J322" s="46"/>
      <c r="K322" s="47"/>
    </row>
    <row r="323" spans="1:11" x14ac:dyDescent="0.35">
      <c r="A323" s="39"/>
      <c r="B323" s="46"/>
      <c r="C323" s="46"/>
      <c r="D323" s="46"/>
      <c r="E323" s="46"/>
      <c r="F323" s="46"/>
      <c r="G323" s="46"/>
      <c r="H323" s="46"/>
      <c r="I323" s="46"/>
      <c r="J323" s="46"/>
      <c r="K323" s="47"/>
    </row>
    <row r="324" spans="1:11" x14ac:dyDescent="0.35">
      <c r="A324" s="39"/>
      <c r="B324" s="46"/>
      <c r="C324" s="46"/>
      <c r="D324" s="46"/>
      <c r="E324" s="46"/>
      <c r="F324" s="46"/>
      <c r="G324" s="46"/>
      <c r="H324" s="46"/>
      <c r="I324" s="46"/>
      <c r="J324" s="46"/>
      <c r="K324" s="47"/>
    </row>
    <row r="325" spans="1:11" x14ac:dyDescent="0.35">
      <c r="A325" s="39"/>
      <c r="B325" s="46"/>
      <c r="C325" s="46"/>
      <c r="D325" s="46"/>
      <c r="E325" s="46"/>
      <c r="F325" s="46"/>
      <c r="G325" s="46"/>
      <c r="H325" s="46"/>
      <c r="I325" s="46"/>
      <c r="J325" s="46"/>
      <c r="K325" s="47"/>
    </row>
    <row r="326" spans="1:11" x14ac:dyDescent="0.35">
      <c r="A326" s="39"/>
      <c r="B326" s="46"/>
      <c r="C326" s="46"/>
      <c r="D326" s="46"/>
      <c r="E326" s="46"/>
      <c r="F326" s="46"/>
      <c r="G326" s="46"/>
      <c r="H326" s="46"/>
      <c r="I326" s="46"/>
      <c r="J326" s="46"/>
      <c r="K326" s="47"/>
    </row>
    <row r="327" spans="1:11" x14ac:dyDescent="0.35">
      <c r="A327" s="39"/>
      <c r="B327" s="46"/>
      <c r="C327" s="46"/>
      <c r="D327" s="46"/>
      <c r="E327" s="46"/>
      <c r="F327" s="46"/>
      <c r="G327" s="46"/>
      <c r="H327" s="46"/>
      <c r="I327" s="46"/>
      <c r="J327" s="46"/>
      <c r="K327" s="47"/>
    </row>
    <row r="328" spans="1:11" x14ac:dyDescent="0.35">
      <c r="A328" s="39"/>
      <c r="B328" s="46"/>
      <c r="C328" s="46"/>
      <c r="D328" s="46"/>
      <c r="E328" s="46"/>
      <c r="F328" s="46"/>
      <c r="G328" s="46"/>
      <c r="H328" s="46"/>
      <c r="I328" s="46"/>
      <c r="J328" s="46"/>
      <c r="K328" s="47"/>
    </row>
    <row r="329" spans="1:11" x14ac:dyDescent="0.35">
      <c r="A329" s="39"/>
      <c r="B329" s="46"/>
      <c r="C329" s="46"/>
      <c r="D329" s="46"/>
      <c r="E329" s="46"/>
      <c r="F329" s="46"/>
      <c r="G329" s="46"/>
      <c r="H329" s="46"/>
      <c r="I329" s="46"/>
      <c r="J329" s="46"/>
      <c r="K329" s="47"/>
    </row>
    <row r="330" spans="1:11" x14ac:dyDescent="0.35">
      <c r="A330" s="39"/>
      <c r="B330" s="46"/>
      <c r="C330" s="46"/>
      <c r="D330" s="46"/>
      <c r="E330" s="46"/>
      <c r="F330" s="46"/>
      <c r="G330" s="46"/>
      <c r="H330" s="46"/>
      <c r="I330" s="46"/>
      <c r="J330" s="46"/>
      <c r="K330" s="47"/>
    </row>
    <row r="331" spans="1:11" x14ac:dyDescent="0.35">
      <c r="A331" s="39"/>
      <c r="B331" s="46"/>
      <c r="C331" s="46"/>
      <c r="D331" s="46"/>
      <c r="E331" s="46"/>
      <c r="F331" s="46"/>
      <c r="G331" s="46"/>
      <c r="H331" s="46"/>
      <c r="I331" s="46"/>
      <c r="J331" s="46"/>
      <c r="K331" s="47"/>
    </row>
    <row r="332" spans="1:11" x14ac:dyDescent="0.35">
      <c r="A332" s="39"/>
      <c r="B332" s="46"/>
      <c r="C332" s="46"/>
      <c r="D332" s="46"/>
      <c r="E332" s="46"/>
      <c r="F332" s="46"/>
      <c r="G332" s="46"/>
      <c r="H332" s="46"/>
      <c r="I332" s="46"/>
      <c r="J332" s="46"/>
      <c r="K332" s="47"/>
    </row>
    <row r="333" spans="1:11" x14ac:dyDescent="0.35">
      <c r="A333" s="39"/>
      <c r="B333" s="46"/>
      <c r="C333" s="46"/>
      <c r="D333" s="46"/>
      <c r="E333" s="46"/>
      <c r="F333" s="46"/>
      <c r="G333" s="46"/>
      <c r="H333" s="46"/>
      <c r="I333" s="46"/>
      <c r="J333" s="46"/>
      <c r="K333" s="47"/>
    </row>
    <row r="334" spans="1:11" x14ac:dyDescent="0.35">
      <c r="A334" s="39"/>
      <c r="B334" s="46"/>
      <c r="C334" s="46"/>
      <c r="D334" s="46"/>
      <c r="E334" s="46"/>
      <c r="F334" s="46"/>
      <c r="G334" s="46"/>
      <c r="H334" s="46"/>
      <c r="I334" s="46"/>
      <c r="J334" s="46"/>
      <c r="K334" s="47"/>
    </row>
    <row r="335" spans="1:11" x14ac:dyDescent="0.35">
      <c r="A335" s="39"/>
      <c r="B335" s="46"/>
      <c r="C335" s="46"/>
      <c r="D335" s="46"/>
      <c r="E335" s="46"/>
      <c r="F335" s="46"/>
      <c r="G335" s="46"/>
      <c r="H335" s="46"/>
      <c r="I335" s="46"/>
      <c r="J335" s="46"/>
      <c r="K335" s="47"/>
    </row>
    <row r="336" spans="1:11" x14ac:dyDescent="0.35">
      <c r="A336" s="39"/>
      <c r="B336" s="46"/>
      <c r="C336" s="46"/>
      <c r="D336" s="46"/>
      <c r="E336" s="46"/>
      <c r="F336" s="46"/>
      <c r="G336" s="46"/>
      <c r="H336" s="46"/>
      <c r="I336" s="46"/>
      <c r="J336" s="46"/>
      <c r="K336" s="47"/>
    </row>
    <row r="337" spans="1:11" x14ac:dyDescent="0.35">
      <c r="A337" s="39"/>
      <c r="B337" s="46"/>
      <c r="C337" s="46"/>
      <c r="D337" s="46"/>
      <c r="E337" s="46"/>
      <c r="F337" s="46"/>
      <c r="G337" s="46"/>
      <c r="H337" s="46"/>
      <c r="I337" s="46"/>
      <c r="J337" s="46"/>
      <c r="K337" s="47"/>
    </row>
    <row r="338" spans="1:11" x14ac:dyDescent="0.35">
      <c r="A338" s="39"/>
      <c r="B338" s="46"/>
      <c r="C338" s="46"/>
      <c r="D338" s="46"/>
      <c r="E338" s="46"/>
      <c r="F338" s="46"/>
      <c r="G338" s="46"/>
      <c r="H338" s="46"/>
      <c r="I338" s="46"/>
      <c r="J338" s="46"/>
      <c r="K338" s="47"/>
    </row>
    <row r="339" spans="1:11" x14ac:dyDescent="0.35">
      <c r="A339" s="39"/>
      <c r="B339" s="46"/>
      <c r="C339" s="46"/>
      <c r="D339" s="46"/>
      <c r="E339" s="46"/>
      <c r="F339" s="46"/>
      <c r="G339" s="46"/>
      <c r="H339" s="46"/>
      <c r="I339" s="46"/>
      <c r="J339" s="46"/>
      <c r="K339" s="47"/>
    </row>
    <row r="340" spans="1:11" x14ac:dyDescent="0.35">
      <c r="A340" s="39"/>
      <c r="B340" s="46"/>
      <c r="C340" s="46"/>
      <c r="D340" s="46"/>
      <c r="E340" s="46"/>
      <c r="F340" s="46"/>
      <c r="G340" s="46"/>
      <c r="H340" s="46"/>
      <c r="I340" s="46"/>
      <c r="J340" s="46"/>
      <c r="K340" s="47"/>
    </row>
    <row r="341" spans="1:11" x14ac:dyDescent="0.35">
      <c r="A341" s="39"/>
      <c r="B341" s="46"/>
      <c r="C341" s="46"/>
      <c r="D341" s="46"/>
      <c r="E341" s="46"/>
      <c r="F341" s="46"/>
      <c r="G341" s="46"/>
      <c r="H341" s="46"/>
      <c r="I341" s="46"/>
      <c r="J341" s="46"/>
      <c r="K341" s="47"/>
    </row>
    <row r="342" spans="1:11" x14ac:dyDescent="0.35">
      <c r="A342" s="39"/>
      <c r="B342" s="46"/>
      <c r="C342" s="46"/>
      <c r="D342" s="46"/>
      <c r="E342" s="46"/>
      <c r="F342" s="46"/>
      <c r="G342" s="46"/>
      <c r="H342" s="46"/>
      <c r="I342" s="46"/>
      <c r="J342" s="46"/>
      <c r="K342" s="47"/>
    </row>
    <row r="343" spans="1:11" x14ac:dyDescent="0.35">
      <c r="A343" s="39"/>
      <c r="B343" s="46"/>
      <c r="C343" s="46"/>
      <c r="D343" s="46"/>
      <c r="E343" s="46"/>
      <c r="F343" s="46"/>
      <c r="G343" s="46"/>
      <c r="H343" s="46"/>
      <c r="I343" s="46"/>
      <c r="J343" s="46"/>
      <c r="K343" s="47"/>
    </row>
    <row r="344" spans="1:11" x14ac:dyDescent="0.35">
      <c r="A344" s="39"/>
      <c r="B344" s="46"/>
      <c r="C344" s="46"/>
      <c r="D344" s="46"/>
      <c r="E344" s="46"/>
      <c r="F344" s="46"/>
      <c r="G344" s="46"/>
      <c r="H344" s="46"/>
      <c r="I344" s="46"/>
      <c r="J344" s="46"/>
      <c r="K344" s="47"/>
    </row>
    <row r="345" spans="1:11" x14ac:dyDescent="0.35">
      <c r="A345" s="39"/>
      <c r="B345" s="46"/>
      <c r="C345" s="46"/>
      <c r="D345" s="46"/>
      <c r="E345" s="46"/>
      <c r="F345" s="46"/>
      <c r="G345" s="46"/>
      <c r="H345" s="46"/>
      <c r="I345" s="46"/>
      <c r="J345" s="46"/>
      <c r="K345" s="47"/>
    </row>
    <row r="346" spans="1:11" x14ac:dyDescent="0.35">
      <c r="A346" s="39"/>
      <c r="B346" s="46"/>
      <c r="C346" s="46"/>
      <c r="D346" s="46"/>
      <c r="E346" s="46"/>
      <c r="F346" s="46"/>
      <c r="G346" s="46"/>
      <c r="H346" s="46"/>
      <c r="I346" s="46"/>
      <c r="J346" s="46"/>
      <c r="K346" s="47"/>
    </row>
    <row r="347" spans="1:11" x14ac:dyDescent="0.35">
      <c r="A347" s="39"/>
      <c r="B347" s="46"/>
      <c r="C347" s="46"/>
      <c r="D347" s="46"/>
      <c r="E347" s="46"/>
      <c r="F347" s="46"/>
      <c r="G347" s="46"/>
      <c r="H347" s="46"/>
      <c r="I347" s="46"/>
      <c r="J347" s="46"/>
      <c r="K347" s="47"/>
    </row>
    <row r="348" spans="1:11" x14ac:dyDescent="0.35">
      <c r="A348" s="39"/>
      <c r="B348" s="46"/>
      <c r="C348" s="46"/>
      <c r="D348" s="46"/>
      <c r="E348" s="46"/>
      <c r="F348" s="46"/>
      <c r="G348" s="46"/>
      <c r="H348" s="46"/>
      <c r="I348" s="46"/>
      <c r="J348" s="46"/>
      <c r="K348" s="47"/>
    </row>
    <row r="349" spans="1:11" x14ac:dyDescent="0.35">
      <c r="A349" s="39"/>
      <c r="B349" s="46"/>
      <c r="C349" s="46"/>
      <c r="D349" s="46"/>
      <c r="E349" s="46"/>
      <c r="F349" s="46"/>
      <c r="G349" s="46"/>
      <c r="H349" s="46"/>
      <c r="I349" s="46"/>
      <c r="J349" s="46"/>
      <c r="K349" s="47"/>
    </row>
    <row r="350" spans="1:11" x14ac:dyDescent="0.35">
      <c r="A350" s="39"/>
      <c r="B350" s="46"/>
      <c r="C350" s="46"/>
      <c r="D350" s="46"/>
      <c r="E350" s="46"/>
      <c r="F350" s="46"/>
      <c r="G350" s="46"/>
      <c r="H350" s="46"/>
      <c r="I350" s="46"/>
      <c r="J350" s="46"/>
      <c r="K350" s="47"/>
    </row>
    <row r="351" spans="1:11" x14ac:dyDescent="0.35">
      <c r="A351" s="39"/>
      <c r="B351" s="46"/>
      <c r="C351" s="46"/>
      <c r="D351" s="46"/>
      <c r="E351" s="46"/>
      <c r="F351" s="46"/>
      <c r="G351" s="46"/>
      <c r="H351" s="46"/>
      <c r="I351" s="46"/>
      <c r="J351" s="46"/>
      <c r="K351" s="47"/>
    </row>
    <row r="352" spans="1:11" x14ac:dyDescent="0.35">
      <c r="A352" s="39"/>
      <c r="B352" s="46"/>
      <c r="C352" s="46"/>
      <c r="D352" s="46"/>
      <c r="E352" s="46"/>
      <c r="F352" s="46"/>
      <c r="G352" s="46"/>
      <c r="H352" s="46"/>
      <c r="I352" s="46"/>
      <c r="J352" s="46"/>
      <c r="K352" s="47"/>
    </row>
    <row r="353" spans="1:11" x14ac:dyDescent="0.35">
      <c r="A353" s="39"/>
      <c r="B353" s="46"/>
      <c r="C353" s="46"/>
      <c r="D353" s="46"/>
      <c r="E353" s="46"/>
      <c r="F353" s="46"/>
      <c r="G353" s="46"/>
      <c r="H353" s="46"/>
      <c r="I353" s="46"/>
      <c r="J353" s="46"/>
      <c r="K353" s="47"/>
    </row>
    <row r="354" spans="1:11" x14ac:dyDescent="0.35">
      <c r="A354" s="39"/>
      <c r="B354" s="46"/>
      <c r="C354" s="46"/>
      <c r="D354" s="46"/>
      <c r="E354" s="46"/>
      <c r="F354" s="46"/>
      <c r="G354" s="46"/>
      <c r="H354" s="46"/>
      <c r="I354" s="46"/>
      <c r="J354" s="46"/>
      <c r="K354" s="47"/>
    </row>
    <row r="355" spans="1:11" x14ac:dyDescent="0.35">
      <c r="A355" s="39"/>
      <c r="B355" s="46"/>
      <c r="C355" s="46"/>
      <c r="D355" s="46"/>
      <c r="E355" s="46"/>
      <c r="F355" s="46"/>
      <c r="G355" s="46"/>
      <c r="H355" s="46"/>
      <c r="I355" s="46"/>
      <c r="J355" s="46"/>
      <c r="K355" s="47"/>
    </row>
    <row r="356" spans="1:11" x14ac:dyDescent="0.35">
      <c r="A356" s="39"/>
      <c r="B356" s="46"/>
      <c r="C356" s="46"/>
      <c r="D356" s="46"/>
      <c r="E356" s="46"/>
      <c r="F356" s="46"/>
      <c r="G356" s="46"/>
      <c r="H356" s="46"/>
      <c r="I356" s="46"/>
      <c r="J356" s="46"/>
      <c r="K356" s="47"/>
    </row>
    <row r="357" spans="1:11" x14ac:dyDescent="0.35">
      <c r="A357" s="39"/>
      <c r="B357" s="46"/>
      <c r="C357" s="46"/>
      <c r="D357" s="46"/>
      <c r="E357" s="46"/>
      <c r="F357" s="46"/>
      <c r="G357" s="46"/>
      <c r="H357" s="46"/>
      <c r="I357" s="46"/>
      <c r="J357" s="46"/>
      <c r="K357" s="47"/>
    </row>
    <row r="358" spans="1:11" x14ac:dyDescent="0.35">
      <c r="A358" s="39"/>
      <c r="B358" s="46"/>
      <c r="C358" s="46"/>
      <c r="D358" s="46"/>
      <c r="E358" s="46"/>
      <c r="F358" s="46"/>
      <c r="G358" s="46"/>
      <c r="H358" s="46"/>
      <c r="I358" s="46"/>
      <c r="J358" s="46"/>
      <c r="K358" s="47"/>
    </row>
    <row r="359" spans="1:11" x14ac:dyDescent="0.35">
      <c r="A359" s="39"/>
      <c r="B359" s="46"/>
      <c r="C359" s="46"/>
      <c r="D359" s="46"/>
      <c r="E359" s="46"/>
      <c r="F359" s="46"/>
      <c r="G359" s="46"/>
      <c r="H359" s="46"/>
      <c r="I359" s="46"/>
      <c r="J359" s="46"/>
      <c r="K359" s="47"/>
    </row>
    <row r="360" spans="1:11" x14ac:dyDescent="0.35">
      <c r="A360" s="39"/>
      <c r="B360" s="46"/>
      <c r="C360" s="46"/>
      <c r="D360" s="46"/>
      <c r="E360" s="46"/>
      <c r="F360" s="46"/>
      <c r="G360" s="46"/>
      <c r="H360" s="46"/>
      <c r="I360" s="46"/>
      <c r="J360" s="46"/>
      <c r="K360" s="47"/>
    </row>
    <row r="361" spans="1:11" x14ac:dyDescent="0.35">
      <c r="A361" s="39"/>
      <c r="B361" s="46"/>
      <c r="C361" s="46"/>
      <c r="D361" s="46"/>
      <c r="E361" s="46"/>
      <c r="F361" s="46"/>
      <c r="G361" s="46"/>
      <c r="H361" s="46"/>
      <c r="I361" s="46"/>
      <c r="J361" s="46"/>
      <c r="K361" s="47"/>
    </row>
    <row r="362" spans="1:11" x14ac:dyDescent="0.35">
      <c r="A362" s="39"/>
      <c r="B362" s="46"/>
      <c r="C362" s="46"/>
      <c r="D362" s="46"/>
      <c r="E362" s="46"/>
      <c r="F362" s="46"/>
      <c r="G362" s="46"/>
      <c r="H362" s="46"/>
      <c r="I362" s="46"/>
      <c r="J362" s="46"/>
      <c r="K362" s="47"/>
    </row>
    <row r="363" spans="1:11" x14ac:dyDescent="0.35">
      <c r="A363" s="39"/>
      <c r="B363" s="46"/>
      <c r="C363" s="46"/>
      <c r="D363" s="46"/>
      <c r="E363" s="46"/>
      <c r="F363" s="46"/>
      <c r="G363" s="46"/>
      <c r="H363" s="46"/>
      <c r="I363" s="46"/>
      <c r="J363" s="46"/>
      <c r="K363" s="47"/>
    </row>
    <row r="364" spans="1:11" x14ac:dyDescent="0.35">
      <c r="A364" s="39"/>
      <c r="B364" s="46"/>
      <c r="C364" s="46"/>
      <c r="D364" s="46"/>
      <c r="E364" s="46"/>
      <c r="F364" s="46"/>
      <c r="G364" s="46"/>
      <c r="H364" s="46"/>
      <c r="I364" s="46"/>
      <c r="J364" s="46"/>
      <c r="K364" s="47"/>
    </row>
    <row r="365" spans="1:11" x14ac:dyDescent="0.35">
      <c r="A365" s="39"/>
      <c r="B365" s="46"/>
      <c r="C365" s="46"/>
      <c r="D365" s="46"/>
      <c r="E365" s="46"/>
      <c r="F365" s="46"/>
      <c r="G365" s="46"/>
      <c r="H365" s="46"/>
      <c r="I365" s="46"/>
      <c r="J365" s="46"/>
      <c r="K365" s="47"/>
    </row>
    <row r="366" spans="1:11" x14ac:dyDescent="0.35">
      <c r="A366" s="39"/>
      <c r="B366" s="46"/>
      <c r="C366" s="46"/>
      <c r="D366" s="46"/>
      <c r="E366" s="46"/>
      <c r="F366" s="46"/>
      <c r="G366" s="46"/>
      <c r="H366" s="46"/>
      <c r="I366" s="46"/>
      <c r="J366" s="46"/>
      <c r="K366" s="47"/>
    </row>
    <row r="367" spans="1:11" x14ac:dyDescent="0.35">
      <c r="A367" s="39"/>
      <c r="B367" s="46"/>
      <c r="C367" s="46"/>
      <c r="D367" s="46"/>
      <c r="E367" s="46"/>
      <c r="F367" s="46"/>
      <c r="G367" s="46"/>
      <c r="H367" s="46"/>
      <c r="I367" s="46"/>
      <c r="J367" s="46"/>
      <c r="K367" s="47"/>
    </row>
    <row r="368" spans="1:11" x14ac:dyDescent="0.35">
      <c r="A368" s="39"/>
      <c r="B368" s="46"/>
      <c r="C368" s="46"/>
      <c r="D368" s="46"/>
      <c r="E368" s="46"/>
      <c r="F368" s="46"/>
      <c r="G368" s="46"/>
      <c r="H368" s="46"/>
      <c r="I368" s="46"/>
      <c r="J368" s="46"/>
      <c r="K368" s="47"/>
    </row>
    <row r="369" spans="1:11" x14ac:dyDescent="0.35">
      <c r="A369" s="39"/>
      <c r="B369" s="46"/>
      <c r="C369" s="46"/>
      <c r="D369" s="46"/>
      <c r="E369" s="46"/>
      <c r="F369" s="46"/>
      <c r="G369" s="46"/>
      <c r="H369" s="46"/>
      <c r="I369" s="46"/>
      <c r="J369" s="46"/>
      <c r="K369" s="47"/>
    </row>
    <row r="370" spans="1:11" x14ac:dyDescent="0.35">
      <c r="A370" s="39"/>
      <c r="B370" s="46"/>
      <c r="C370" s="46"/>
      <c r="D370" s="46"/>
      <c r="E370" s="46"/>
      <c r="F370" s="46"/>
      <c r="G370" s="46"/>
      <c r="H370" s="46"/>
      <c r="I370" s="46"/>
      <c r="J370" s="46"/>
      <c r="K370" s="47"/>
    </row>
    <row r="371" spans="1:11" x14ac:dyDescent="0.35">
      <c r="A371" s="39"/>
      <c r="B371" s="46"/>
      <c r="C371" s="46"/>
      <c r="D371" s="46"/>
      <c r="E371" s="46"/>
      <c r="F371" s="46"/>
      <c r="G371" s="46"/>
      <c r="H371" s="46"/>
      <c r="I371" s="46"/>
      <c r="J371" s="46"/>
      <c r="K371" s="47"/>
    </row>
    <row r="372" spans="1:11" x14ac:dyDescent="0.35">
      <c r="A372" s="39"/>
      <c r="B372" s="46"/>
      <c r="C372" s="46"/>
      <c r="D372" s="46"/>
      <c r="E372" s="46"/>
      <c r="F372" s="46"/>
      <c r="G372" s="46"/>
      <c r="H372" s="46"/>
      <c r="I372" s="46"/>
      <c r="J372" s="46"/>
      <c r="K372" s="47"/>
    </row>
    <row r="373" spans="1:11" x14ac:dyDescent="0.35">
      <c r="A373" s="39"/>
      <c r="B373" s="46"/>
      <c r="C373" s="46"/>
      <c r="D373" s="46"/>
      <c r="E373" s="46"/>
      <c r="F373" s="46"/>
      <c r="G373" s="46"/>
      <c r="H373" s="46"/>
      <c r="I373" s="46"/>
      <c r="J373" s="46"/>
      <c r="K373" s="47"/>
    </row>
    <row r="374" spans="1:11" x14ac:dyDescent="0.35">
      <c r="A374" s="39"/>
      <c r="B374" s="46"/>
      <c r="C374" s="46"/>
      <c r="D374" s="46"/>
      <c r="E374" s="46"/>
      <c r="F374" s="46"/>
      <c r="G374" s="46"/>
      <c r="H374" s="46"/>
      <c r="I374" s="46"/>
      <c r="J374" s="46"/>
      <c r="K374" s="47"/>
    </row>
    <row r="375" spans="1:11" x14ac:dyDescent="0.35">
      <c r="A375" s="39"/>
      <c r="B375" s="46"/>
      <c r="C375" s="46"/>
      <c r="D375" s="46"/>
      <c r="E375" s="46"/>
      <c r="F375" s="46"/>
      <c r="G375" s="46"/>
      <c r="H375" s="46"/>
      <c r="I375" s="46"/>
      <c r="J375" s="46"/>
      <c r="K375" s="47"/>
    </row>
    <row r="376" spans="1:11" x14ac:dyDescent="0.35">
      <c r="A376" s="39"/>
      <c r="B376" s="46"/>
      <c r="C376" s="46"/>
      <c r="D376" s="46"/>
      <c r="E376" s="46"/>
      <c r="F376" s="46"/>
      <c r="G376" s="46"/>
      <c r="H376" s="46"/>
      <c r="I376" s="46"/>
      <c r="J376" s="46"/>
      <c r="K376" s="47"/>
    </row>
    <row r="377" spans="1:11" x14ac:dyDescent="0.35">
      <c r="A377" s="39"/>
      <c r="B377" s="46"/>
      <c r="C377" s="46"/>
      <c r="D377" s="46"/>
      <c r="E377" s="46"/>
      <c r="F377" s="46"/>
      <c r="G377" s="46"/>
      <c r="H377" s="46"/>
      <c r="I377" s="46"/>
      <c r="J377" s="46"/>
      <c r="K377" s="47"/>
    </row>
    <row r="378" spans="1:11" x14ac:dyDescent="0.35">
      <c r="A378" s="39"/>
      <c r="B378" s="46"/>
      <c r="C378" s="46"/>
      <c r="D378" s="46"/>
      <c r="E378" s="46"/>
      <c r="F378" s="46"/>
      <c r="G378" s="46"/>
      <c r="H378" s="46"/>
      <c r="I378" s="46"/>
      <c r="J378" s="46"/>
      <c r="K378" s="47"/>
    </row>
    <row r="379" spans="1:11" x14ac:dyDescent="0.35">
      <c r="A379" s="39"/>
      <c r="B379" s="46"/>
      <c r="C379" s="46"/>
      <c r="D379" s="46"/>
      <c r="E379" s="46"/>
      <c r="F379" s="46"/>
      <c r="G379" s="46"/>
      <c r="H379" s="46"/>
      <c r="I379" s="46"/>
      <c r="J379" s="46"/>
      <c r="K379" s="47"/>
    </row>
    <row r="380" spans="1:11" x14ac:dyDescent="0.35">
      <c r="A380" s="39"/>
      <c r="B380" s="46"/>
      <c r="C380" s="46"/>
      <c r="D380" s="46"/>
      <c r="E380" s="46"/>
      <c r="F380" s="46"/>
      <c r="G380" s="46"/>
      <c r="H380" s="46"/>
      <c r="I380" s="46"/>
      <c r="J380" s="46"/>
      <c r="K380" s="47"/>
    </row>
    <row r="381" spans="1:11" x14ac:dyDescent="0.35">
      <c r="A381" s="39"/>
      <c r="B381" s="46"/>
      <c r="C381" s="46"/>
      <c r="D381" s="46"/>
      <c r="E381" s="46"/>
      <c r="F381" s="46"/>
      <c r="G381" s="46"/>
      <c r="H381" s="46"/>
      <c r="I381" s="46"/>
      <c r="J381" s="46"/>
      <c r="K381" s="47"/>
    </row>
    <row r="382" spans="1:11" x14ac:dyDescent="0.35">
      <c r="A382" s="39"/>
      <c r="B382" s="46"/>
      <c r="C382" s="46"/>
      <c r="D382" s="46"/>
      <c r="E382" s="46"/>
      <c r="F382" s="46"/>
      <c r="G382" s="46"/>
      <c r="H382" s="46"/>
      <c r="I382" s="46"/>
      <c r="J382" s="46"/>
      <c r="K382" s="47"/>
    </row>
    <row r="383" spans="1:11" x14ac:dyDescent="0.35">
      <c r="A383" s="39"/>
      <c r="B383" s="46"/>
      <c r="C383" s="46"/>
      <c r="D383" s="46"/>
      <c r="E383" s="46"/>
      <c r="F383" s="46"/>
      <c r="G383" s="46"/>
      <c r="H383" s="46"/>
      <c r="I383" s="46"/>
      <c r="J383" s="46"/>
      <c r="K383" s="47"/>
    </row>
    <row r="384" spans="1:11" x14ac:dyDescent="0.35">
      <c r="A384" s="39"/>
      <c r="B384" s="46"/>
      <c r="C384" s="46"/>
      <c r="D384" s="46"/>
      <c r="E384" s="46"/>
      <c r="F384" s="46"/>
      <c r="G384" s="46"/>
      <c r="H384" s="46"/>
      <c r="I384" s="46"/>
      <c r="J384" s="46"/>
      <c r="K384" s="47"/>
    </row>
    <row r="385" spans="1:11" x14ac:dyDescent="0.35">
      <c r="A385" s="39"/>
      <c r="B385" s="46"/>
      <c r="C385" s="46"/>
      <c r="D385" s="46"/>
      <c r="E385" s="46"/>
      <c r="F385" s="46"/>
      <c r="G385" s="46"/>
      <c r="H385" s="46"/>
      <c r="I385" s="46"/>
      <c r="J385" s="46"/>
      <c r="K385" s="47"/>
    </row>
    <row r="386" spans="1:11" x14ac:dyDescent="0.35">
      <c r="A386" s="39"/>
      <c r="B386" s="46"/>
      <c r="C386" s="46"/>
      <c r="D386" s="46"/>
      <c r="E386" s="46"/>
      <c r="F386" s="46"/>
      <c r="G386" s="46"/>
      <c r="H386" s="46"/>
      <c r="I386" s="46"/>
      <c r="J386" s="46"/>
      <c r="K386" s="47"/>
    </row>
    <row r="387" spans="1:11" x14ac:dyDescent="0.35">
      <c r="A387" s="39"/>
      <c r="B387" s="46"/>
      <c r="C387" s="46"/>
      <c r="D387" s="46"/>
      <c r="E387" s="46"/>
      <c r="F387" s="46"/>
      <c r="G387" s="46"/>
      <c r="H387" s="46"/>
      <c r="I387" s="46"/>
      <c r="J387" s="46"/>
      <c r="K387" s="47"/>
    </row>
    <row r="388" spans="1:11" x14ac:dyDescent="0.35">
      <c r="A388" s="39"/>
      <c r="B388" s="46"/>
      <c r="C388" s="46"/>
      <c r="D388" s="46"/>
      <c r="E388" s="46"/>
      <c r="F388" s="46"/>
      <c r="G388" s="46"/>
      <c r="H388" s="46"/>
      <c r="I388" s="46"/>
      <c r="J388" s="46"/>
      <c r="K388" s="47"/>
    </row>
    <row r="389" spans="1:11" x14ac:dyDescent="0.35">
      <c r="A389" s="39"/>
      <c r="B389" s="46"/>
      <c r="C389" s="46"/>
      <c r="D389" s="46"/>
      <c r="E389" s="46"/>
      <c r="F389" s="46"/>
      <c r="G389" s="46"/>
      <c r="H389" s="46"/>
      <c r="I389" s="46"/>
      <c r="J389" s="46"/>
      <c r="K389" s="47"/>
    </row>
    <row r="390" spans="1:11" x14ac:dyDescent="0.35">
      <c r="A390" s="39"/>
      <c r="B390" s="46"/>
      <c r="C390" s="46"/>
      <c r="D390" s="46"/>
      <c r="E390" s="46"/>
      <c r="F390" s="46"/>
      <c r="G390" s="46"/>
      <c r="H390" s="46"/>
      <c r="I390" s="46"/>
      <c r="J390" s="46"/>
      <c r="K390" s="47"/>
    </row>
    <row r="391" spans="1:11" x14ac:dyDescent="0.35">
      <c r="A391" s="39"/>
      <c r="B391" s="46"/>
      <c r="C391" s="46"/>
      <c r="D391" s="46"/>
      <c r="E391" s="46"/>
      <c r="F391" s="46"/>
      <c r="G391" s="46"/>
      <c r="H391" s="46"/>
      <c r="I391" s="46"/>
      <c r="J391" s="46"/>
      <c r="K391" s="47"/>
    </row>
    <row r="392" spans="1:11" x14ac:dyDescent="0.35">
      <c r="A392" s="39"/>
      <c r="B392" s="46"/>
      <c r="C392" s="46"/>
      <c r="D392" s="46"/>
      <c r="E392" s="46"/>
      <c r="F392" s="46"/>
      <c r="G392" s="46"/>
      <c r="H392" s="46"/>
      <c r="I392" s="46"/>
      <c r="J392" s="46"/>
      <c r="K392" s="47"/>
    </row>
    <row r="393" spans="1:11" x14ac:dyDescent="0.35">
      <c r="A393" s="39"/>
      <c r="B393" s="46"/>
      <c r="C393" s="46"/>
      <c r="D393" s="46"/>
      <c r="E393" s="46"/>
      <c r="F393" s="46"/>
      <c r="G393" s="46"/>
      <c r="H393" s="46"/>
      <c r="I393" s="46"/>
      <c r="J393" s="46"/>
      <c r="K393" s="47"/>
    </row>
    <row r="394" spans="1:11" x14ac:dyDescent="0.35">
      <c r="A394" s="39"/>
      <c r="B394" s="46"/>
      <c r="C394" s="46"/>
      <c r="D394" s="46"/>
      <c r="E394" s="46"/>
      <c r="F394" s="46"/>
      <c r="G394" s="46"/>
      <c r="H394" s="46"/>
      <c r="I394" s="46"/>
      <c r="J394" s="46"/>
      <c r="K394" s="47"/>
    </row>
    <row r="395" spans="1:11" x14ac:dyDescent="0.35">
      <c r="A395" s="39"/>
      <c r="B395" s="46"/>
      <c r="C395" s="46"/>
      <c r="D395" s="46"/>
      <c r="E395" s="46"/>
      <c r="F395" s="46"/>
      <c r="G395" s="46"/>
      <c r="H395" s="46"/>
      <c r="I395" s="46"/>
      <c r="J395" s="46"/>
      <c r="K395" s="47"/>
    </row>
    <row r="396" spans="1:11" x14ac:dyDescent="0.35">
      <c r="A396" s="39"/>
      <c r="B396" s="46"/>
      <c r="C396" s="46"/>
      <c r="D396" s="46"/>
      <c r="E396" s="46"/>
      <c r="F396" s="46"/>
      <c r="G396" s="46"/>
      <c r="H396" s="46"/>
      <c r="I396" s="46"/>
      <c r="J396" s="46"/>
      <c r="K396" s="47"/>
    </row>
    <row r="397" spans="1:11" x14ac:dyDescent="0.35">
      <c r="A397" s="39"/>
      <c r="B397" s="46"/>
      <c r="C397" s="46"/>
      <c r="D397" s="46"/>
      <c r="E397" s="46"/>
      <c r="F397" s="46"/>
      <c r="G397" s="46"/>
      <c r="H397" s="46"/>
      <c r="I397" s="46"/>
      <c r="J397" s="46"/>
      <c r="K397" s="47"/>
    </row>
    <row r="398" spans="1:11" x14ac:dyDescent="0.35">
      <c r="A398" s="39"/>
      <c r="B398" s="46"/>
      <c r="C398" s="46"/>
      <c r="D398" s="46"/>
      <c r="E398" s="46"/>
      <c r="F398" s="46"/>
      <c r="G398" s="46"/>
      <c r="H398" s="46"/>
      <c r="I398" s="46"/>
      <c r="J398" s="46"/>
      <c r="K398" s="47"/>
    </row>
    <row r="399" spans="1:11" x14ac:dyDescent="0.35">
      <c r="A399" s="39"/>
      <c r="B399" s="46"/>
      <c r="C399" s="46"/>
      <c r="D399" s="46"/>
      <c r="E399" s="46"/>
      <c r="F399" s="46"/>
      <c r="G399" s="46"/>
      <c r="H399" s="46"/>
      <c r="I399" s="46"/>
      <c r="J399" s="46"/>
      <c r="K399" s="47"/>
    </row>
    <row r="400" spans="1:11" x14ac:dyDescent="0.35">
      <c r="A400" s="39"/>
      <c r="B400" s="46"/>
      <c r="C400" s="46"/>
      <c r="D400" s="46"/>
      <c r="E400" s="46"/>
      <c r="F400" s="46"/>
      <c r="G400" s="46"/>
      <c r="H400" s="46"/>
      <c r="I400" s="46"/>
      <c r="J400" s="46"/>
      <c r="K400" s="47"/>
    </row>
    <row r="401" spans="1:11" x14ac:dyDescent="0.35">
      <c r="A401" s="39"/>
      <c r="B401" s="46"/>
      <c r="C401" s="46"/>
      <c r="D401" s="46"/>
      <c r="E401" s="46"/>
      <c r="F401" s="46"/>
      <c r="G401" s="46"/>
      <c r="H401" s="46"/>
      <c r="I401" s="46"/>
      <c r="J401" s="46"/>
      <c r="K401" s="47"/>
    </row>
    <row r="402" spans="1:11" x14ac:dyDescent="0.35">
      <c r="A402" s="39"/>
      <c r="B402" s="46"/>
      <c r="C402" s="46"/>
      <c r="D402" s="46"/>
      <c r="E402" s="46"/>
      <c r="F402" s="46"/>
      <c r="G402" s="46"/>
      <c r="H402" s="46"/>
      <c r="I402" s="46"/>
      <c r="J402" s="46"/>
      <c r="K402" s="47"/>
    </row>
    <row r="403" spans="1:11" x14ac:dyDescent="0.35">
      <c r="A403" s="39"/>
      <c r="B403" s="46"/>
      <c r="C403" s="46"/>
      <c r="D403" s="46"/>
      <c r="E403" s="46"/>
      <c r="F403" s="46"/>
      <c r="G403" s="46"/>
      <c r="H403" s="46"/>
      <c r="I403" s="46"/>
      <c r="J403" s="46"/>
      <c r="K403" s="47"/>
    </row>
    <row r="404" spans="1:11" x14ac:dyDescent="0.35">
      <c r="A404" s="39"/>
      <c r="B404" s="46"/>
      <c r="C404" s="46"/>
      <c r="D404" s="46"/>
      <c r="E404" s="46"/>
      <c r="F404" s="46"/>
      <c r="G404" s="46"/>
      <c r="H404" s="46"/>
      <c r="I404" s="46"/>
      <c r="J404" s="46"/>
      <c r="K404" s="47"/>
    </row>
    <row r="405" spans="1:11" x14ac:dyDescent="0.35">
      <c r="A405" s="39"/>
      <c r="B405" s="46"/>
      <c r="C405" s="46"/>
      <c r="D405" s="46"/>
      <c r="E405" s="46"/>
      <c r="F405" s="46"/>
      <c r="G405" s="46"/>
      <c r="H405" s="46"/>
      <c r="I405" s="46"/>
      <c r="J405" s="46"/>
      <c r="K405" s="47"/>
    </row>
  </sheetData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7" bestFit="1" customWidth="1"/>
    <col min="2" max="3" width="9.81640625" bestFit="1" customWidth="1"/>
    <col min="4" max="4" width="15.90625" bestFit="1" customWidth="1"/>
    <col min="5" max="5" width="13.453125" bestFit="1" customWidth="1"/>
  </cols>
  <sheetData>
    <row r="1" spans="1:5" ht="14.65" customHeight="1" x14ac:dyDescent="0.35">
      <c r="A1" s="17" t="s">
        <v>108</v>
      </c>
      <c r="B1" s="17" t="s">
        <v>7</v>
      </c>
      <c r="C1" s="17" t="s">
        <v>109</v>
      </c>
      <c r="D1" s="17" t="s">
        <v>110</v>
      </c>
      <c r="E1" s="17" t="s">
        <v>111</v>
      </c>
    </row>
    <row r="2" spans="1:5" ht="17" customHeight="1" x14ac:dyDescent="0.35">
      <c r="A2" s="48" t="s">
        <v>99</v>
      </c>
      <c r="B2" s="48" t="s">
        <v>11</v>
      </c>
      <c r="C2" s="48" t="s">
        <v>112</v>
      </c>
      <c r="D2" s="49">
        <v>1</v>
      </c>
      <c r="E2" s="50" t="s">
        <v>113</v>
      </c>
    </row>
    <row r="3" spans="1:5" ht="17" customHeight="1" x14ac:dyDescent="0.35">
      <c r="A3" s="48" t="s">
        <v>100</v>
      </c>
      <c r="B3" s="48" t="s">
        <v>11</v>
      </c>
      <c r="C3" s="48" t="s">
        <v>112</v>
      </c>
      <c r="D3" s="49">
        <v>2.84</v>
      </c>
      <c r="E3" s="50" t="s">
        <v>114</v>
      </c>
    </row>
    <row r="4" spans="1:5" ht="17" customHeight="1" x14ac:dyDescent="0.35">
      <c r="A4" s="48" t="s">
        <v>101</v>
      </c>
      <c r="B4" s="48" t="s">
        <v>11</v>
      </c>
      <c r="C4" s="48" t="s">
        <v>112</v>
      </c>
      <c r="D4" s="49">
        <v>4.84</v>
      </c>
      <c r="E4" s="50" t="s">
        <v>115</v>
      </c>
    </row>
    <row r="5" spans="1:5" ht="17" customHeight="1" x14ac:dyDescent="0.35">
      <c r="A5" s="48" t="s">
        <v>102</v>
      </c>
      <c r="B5" s="48" t="s">
        <v>16</v>
      </c>
      <c r="C5" s="48" t="s">
        <v>116</v>
      </c>
      <c r="D5" s="49">
        <v>1</v>
      </c>
      <c r="E5" s="50" t="s">
        <v>117</v>
      </c>
    </row>
    <row r="6" spans="1:5" ht="17" customHeight="1" x14ac:dyDescent="0.35">
      <c r="A6" s="48" t="s">
        <v>103</v>
      </c>
      <c r="B6" s="48" t="s">
        <v>16</v>
      </c>
      <c r="C6" s="48" t="s">
        <v>116</v>
      </c>
      <c r="D6" s="49">
        <v>2</v>
      </c>
      <c r="E6" s="51" t="s">
        <v>118</v>
      </c>
    </row>
    <row r="7" spans="1:5" x14ac:dyDescent="0.35">
      <c r="A7" s="48" t="s">
        <v>104</v>
      </c>
      <c r="B7" s="48" t="s">
        <v>19</v>
      </c>
      <c r="C7" s="48" t="s">
        <v>119</v>
      </c>
      <c r="D7" s="49">
        <v>1</v>
      </c>
      <c r="E7" s="48" t="s">
        <v>120</v>
      </c>
    </row>
    <row r="8" spans="1:5" x14ac:dyDescent="0.35">
      <c r="A8" s="48" t="s">
        <v>105</v>
      </c>
      <c r="B8" s="48" t="s">
        <v>22</v>
      </c>
      <c r="C8" s="48" t="s">
        <v>121</v>
      </c>
      <c r="D8" s="49">
        <v>1</v>
      </c>
      <c r="E8" s="48" t="s">
        <v>120</v>
      </c>
    </row>
    <row r="9" spans="1:5" x14ac:dyDescent="0.35">
      <c r="A9" s="48" t="s">
        <v>106</v>
      </c>
      <c r="B9" s="48" t="s">
        <v>22</v>
      </c>
      <c r="C9" s="48" t="s">
        <v>121</v>
      </c>
      <c r="D9" s="49">
        <v>1</v>
      </c>
      <c r="E9" s="48" t="s">
        <v>120</v>
      </c>
    </row>
    <row r="10" spans="1:5" ht="17" customHeight="1" x14ac:dyDescent="0.35">
      <c r="A10" s="48" t="s">
        <v>107</v>
      </c>
      <c r="B10" s="48" t="s">
        <v>22</v>
      </c>
      <c r="C10" s="48" t="s">
        <v>121</v>
      </c>
      <c r="D10" s="49">
        <v>1.5</v>
      </c>
      <c r="E10" s="52" t="s">
        <v>122</v>
      </c>
    </row>
  </sheetData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4"/>
  <sheetViews>
    <sheetView tabSelected="1" workbookViewId="0">
      <pane ySplit="4" topLeftCell="A5" activePane="bottomLeft" state="frozen"/>
      <selection pane="bottomLeft" activeCell="C18" sqref="C18"/>
    </sheetView>
  </sheetViews>
  <sheetFormatPr defaultRowHeight="14.5" x14ac:dyDescent="0.35"/>
  <cols>
    <col min="1" max="1" width="20" customWidth="1"/>
    <col min="2" max="2" width="16" customWidth="1"/>
    <col min="3" max="3" width="18" customWidth="1"/>
    <col min="4" max="4" width="16" customWidth="1"/>
    <col min="5" max="5" width="14" customWidth="1"/>
    <col min="6" max="6" width="12" customWidth="1"/>
    <col min="7" max="7" width="14" customWidth="1"/>
    <col min="8" max="8" width="16" customWidth="1"/>
    <col min="9" max="9" width="10" customWidth="1"/>
  </cols>
  <sheetData>
    <row r="1" spans="1:9" ht="25" customHeight="1" x14ac:dyDescent="0.35">
      <c r="A1" s="55" t="s">
        <v>123</v>
      </c>
      <c r="B1" s="54"/>
      <c r="C1" s="54"/>
      <c r="D1" s="54"/>
      <c r="E1" s="54"/>
      <c r="F1" s="54"/>
      <c r="G1" s="54"/>
      <c r="H1" s="54"/>
    </row>
    <row r="3" spans="1:9" x14ac:dyDescent="0.35">
      <c r="A3" s="7" t="s">
        <v>124</v>
      </c>
      <c r="B3" s="8">
        <v>45992</v>
      </c>
    </row>
    <row r="4" spans="1:9" x14ac:dyDescent="0.35">
      <c r="A4" s="7" t="s">
        <v>125</v>
      </c>
      <c r="B4" s="8">
        <v>46022</v>
      </c>
    </row>
    <row r="6" spans="1:9" ht="15.5" customHeight="1" x14ac:dyDescent="0.35">
      <c r="A6" s="56" t="s">
        <v>126</v>
      </c>
      <c r="B6" s="57"/>
      <c r="C6" s="57"/>
      <c r="D6" s="58"/>
      <c r="F6" s="56" t="s">
        <v>127</v>
      </c>
      <c r="G6" s="57"/>
      <c r="H6" s="58"/>
    </row>
    <row r="7" spans="1:9" ht="14.65" customHeight="1" x14ac:dyDescent="0.35">
      <c r="A7" s="2" t="s">
        <v>7</v>
      </c>
      <c r="B7" s="2" t="s">
        <v>128</v>
      </c>
      <c r="C7" s="2" t="s">
        <v>129</v>
      </c>
      <c r="D7" s="2" t="s">
        <v>130</v>
      </c>
      <c r="F7" s="2" t="s">
        <v>7</v>
      </c>
      <c r="G7" s="2" t="s">
        <v>131</v>
      </c>
      <c r="H7" s="2" t="s">
        <v>129</v>
      </c>
      <c r="I7" s="3" t="s">
        <v>132</v>
      </c>
    </row>
    <row r="8" spans="1:9" x14ac:dyDescent="0.35">
      <c r="A8" s="4" t="s">
        <v>11</v>
      </c>
      <c r="B8" s="9">
        <f>IF(SUM(매입현황_기록!$G$5:$G$561)=0,"",SUMIFS(매입현황_기록!$G$5:$G$561,매입현황_기록!$B$5:$B$561,"닭강정",매입현황_기록!$A$5:$A$561,"&gt;="&amp;$B$3,매입현황_기록!$A$5:$A$561,"&lt;="&amp;$B$4))</f>
        <v>774000</v>
      </c>
      <c r="C8" s="9">
        <f>H8</f>
        <v>0</v>
      </c>
      <c r="D8" s="9">
        <f>B8+C8</f>
        <v>774000</v>
      </c>
      <c r="F8" s="4" t="s">
        <v>11</v>
      </c>
      <c r="G8" s="10">
        <v>0.4</v>
      </c>
      <c r="H8" s="9">
        <f>$B$12*G8</f>
        <v>0</v>
      </c>
      <c r="I8" s="11">
        <f>SUM(G8:G11)</f>
        <v>1</v>
      </c>
    </row>
    <row r="9" spans="1:9" x14ac:dyDescent="0.35">
      <c r="A9" s="4" t="s">
        <v>16</v>
      </c>
      <c r="B9" s="9">
        <f>IF(SUM(매입현황_기록!$G$5:$G$561)=0,"",SUMIFS(매입현황_기록!$G$5:$G$561,매입현황_기록!$B$5:$B$561,"떡볶이",매입현황_기록!$A$5:$A$561,"&gt;="&amp;$B$3,매입현황_기록!$A$5:$A$561,"&lt;="&amp;$B$4))</f>
        <v>271000</v>
      </c>
      <c r="C9" s="9">
        <f>H9</f>
        <v>0</v>
      </c>
      <c r="D9" s="9">
        <f>B9+C9</f>
        <v>271000</v>
      </c>
      <c r="F9" s="4" t="s">
        <v>16</v>
      </c>
      <c r="G9" s="10">
        <v>0.25</v>
      </c>
      <c r="H9" s="9">
        <f>$B$12*G9</f>
        <v>0</v>
      </c>
    </row>
    <row r="10" spans="1:9" x14ac:dyDescent="0.35">
      <c r="A10" s="4" t="s">
        <v>19</v>
      </c>
      <c r="B10" s="9">
        <f>IF(SUM(매입현황_기록!$G$5:$G$561)=0,"",SUMIFS(매입현황_기록!$G$5:$G$561,매입현황_기록!$B$5:$B$561,"꼬치오뎅",매입현황_기록!$A$5:$A$561,"&gt;="&amp;$B$3,매입현황_기록!$A$5:$A$561,"&lt;="&amp;$B$4))</f>
        <v>194000</v>
      </c>
      <c r="C10" s="9">
        <f>H10</f>
        <v>0</v>
      </c>
      <c r="D10" s="9">
        <f>B10+C10</f>
        <v>194000</v>
      </c>
      <c r="F10" s="4" t="s">
        <v>19</v>
      </c>
      <c r="G10" s="10">
        <v>0.2</v>
      </c>
      <c r="H10" s="9">
        <f>$B$12*G10</f>
        <v>0</v>
      </c>
    </row>
    <row r="11" spans="1:9" x14ac:dyDescent="0.35">
      <c r="A11" s="4" t="s">
        <v>22</v>
      </c>
      <c r="B11" s="9">
        <f>IF(SUM(매입현황_기록!$G$5:$G$561)=0,"",SUMIFS(매입현황_기록!$G$5:$G$561,매입현황_기록!$B$5:$B$561,"붕어빵",매입현황_기록!$A$5:$A$561,"&gt;="&amp;$B$3,매입현황_기록!$A$5:$A$561,"&lt;="&amp;$B$4))</f>
        <v>904490</v>
      </c>
      <c r="C11" s="9">
        <f>H11</f>
        <v>0</v>
      </c>
      <c r="D11" s="9">
        <f>B11+C11</f>
        <v>904490</v>
      </c>
      <c r="F11" s="4" t="s">
        <v>22</v>
      </c>
      <c r="G11" s="10">
        <v>0.15</v>
      </c>
      <c r="H11" s="9">
        <f>$B$12*G11</f>
        <v>0</v>
      </c>
    </row>
    <row r="12" spans="1:9" x14ac:dyDescent="0.35">
      <c r="A12" s="4" t="s">
        <v>25</v>
      </c>
      <c r="B12" s="9">
        <f>IF(SUM(매입현황_기록!$G$5:$G$561)=0,"",SUMIFS(매입현황_기록!$G$5:$G$561,매입현황_기록!$B$5:$B$561,"공통",매입현황_기록!$A$5:$A$561,"&gt;="&amp;$B$3,매입현황_기록!$A$5:$A$561,"&lt;="&amp;$B$4))</f>
        <v>0</v>
      </c>
      <c r="C12" s="9">
        <v>0</v>
      </c>
      <c r="D12" s="9">
        <f>B12</f>
        <v>0</v>
      </c>
    </row>
    <row r="14" spans="1:9" ht="15.5" customHeight="1" x14ac:dyDescent="0.35">
      <c r="A14" s="56" t="s">
        <v>133</v>
      </c>
      <c r="B14" s="57"/>
      <c r="C14" s="57"/>
      <c r="D14" s="57"/>
      <c r="E14" s="58"/>
    </row>
    <row r="15" spans="1:9" ht="14.65" customHeight="1" x14ac:dyDescent="0.35">
      <c r="A15" s="2" t="s">
        <v>108</v>
      </c>
      <c r="B15" s="2" t="s">
        <v>7</v>
      </c>
      <c r="C15" s="2" t="s">
        <v>134</v>
      </c>
      <c r="D15" s="2" t="s">
        <v>135</v>
      </c>
      <c r="E15" s="2" t="s">
        <v>136</v>
      </c>
    </row>
    <row r="16" spans="1:9" x14ac:dyDescent="0.35">
      <c r="A16" s="5" t="s">
        <v>99</v>
      </c>
      <c r="B16" s="5" t="s">
        <v>11</v>
      </c>
      <c r="C16" s="6">
        <f>IF(SUM(판매수량_기록!$B$2:$B$399)=0,"",SUMIFS(판매수량_기록!$B$2:$B$399,판매수량_기록!$A$2:$A$399,"&gt;="&amp;$B$3,판매수량_기록!$A$2:$A$399,"&lt;="&amp;$B$4))</f>
        <v>414</v>
      </c>
      <c r="D16" s="12">
        <f>환산계수!$D$2</f>
        <v>1</v>
      </c>
      <c r="E16" s="12">
        <f t="shared" ref="E16:E24" si="0">C16*D16</f>
        <v>414</v>
      </c>
    </row>
    <row r="17" spans="1:6" x14ac:dyDescent="0.35">
      <c r="A17" s="5" t="s">
        <v>100</v>
      </c>
      <c r="B17" s="5" t="s">
        <v>11</v>
      </c>
      <c r="C17" s="6">
        <f>IF(SUM(판매수량_기록!$C$2:$C$399)=0,"",SUMIFS(판매수량_기록!$C$2:$C$399,판매수량_기록!$A$2:$A$399,"&gt;="&amp;$B$3,판매수량_기록!$A$2:$A$399,"&lt;="&amp;$B$4))</f>
        <v>80</v>
      </c>
      <c r="D17" s="12">
        <f>환산계수!$D$3</f>
        <v>2.84</v>
      </c>
      <c r="E17" s="12">
        <f t="shared" si="0"/>
        <v>227.2</v>
      </c>
    </row>
    <row r="18" spans="1:6" x14ac:dyDescent="0.35">
      <c r="A18" s="5" t="s">
        <v>101</v>
      </c>
      <c r="B18" s="5" t="s">
        <v>11</v>
      </c>
      <c r="C18" s="6">
        <f>IF(SUM(판매수량_기록!$D$2:$D$399)=0,"",SUMIFS(판매수량_기록!$D$2:$D$399,판매수량_기록!$A$2:$A$399,"&gt;="&amp;$B$3,판매수량_기록!$A$2:$A$399,"&lt;="&amp;$B$4))</f>
        <v>16</v>
      </c>
      <c r="D18" s="12">
        <f>환산계수!$D$4</f>
        <v>4.84</v>
      </c>
      <c r="E18" s="12">
        <f t="shared" si="0"/>
        <v>77.44</v>
      </c>
    </row>
    <row r="19" spans="1:6" x14ac:dyDescent="0.35">
      <c r="A19" s="5" t="s">
        <v>102</v>
      </c>
      <c r="B19" s="5" t="s">
        <v>16</v>
      </c>
      <c r="C19" s="6">
        <f>IF(SUM(판매수량_기록!$E$2:$E$399)=0,"",SUMIFS(판매수량_기록!$E$2:$E$399,판매수량_기록!$A$2:$A$399,"&gt;="&amp;$B$3,판매수량_기록!$A$2:$A$399,"&lt;="&amp;$B$4))</f>
        <v>184</v>
      </c>
      <c r="D19" s="12">
        <f>환산계수!$D$5</f>
        <v>1</v>
      </c>
      <c r="E19" s="12">
        <f t="shared" si="0"/>
        <v>184</v>
      </c>
    </row>
    <row r="20" spans="1:6" x14ac:dyDescent="0.35">
      <c r="A20" s="5" t="s">
        <v>103</v>
      </c>
      <c r="B20" s="5" t="s">
        <v>16</v>
      </c>
      <c r="C20" s="6">
        <f>IF(SUM(판매수량_기록!$F$2:$F$399)=0,"",SUMIFS(판매수량_기록!$F$2:$F$399,판매수량_기록!$A$2:$A$399,"&gt;="&amp;$B$3,판매수량_기록!$A$2:$A$399,"&lt;="&amp;$B$4))</f>
        <v>105</v>
      </c>
      <c r="D20" s="12">
        <f>환산계수!$D$6</f>
        <v>2</v>
      </c>
      <c r="E20" s="12">
        <f t="shared" si="0"/>
        <v>210</v>
      </c>
    </row>
    <row r="21" spans="1:6" x14ac:dyDescent="0.35">
      <c r="A21" s="5" t="s">
        <v>104</v>
      </c>
      <c r="B21" s="5" t="s">
        <v>19</v>
      </c>
      <c r="C21" s="6">
        <f>IF(SUM(판매수량_기록!$G$2:$G$399)=0,"",SUMIFS(판매수량_기록!$G$2:$G$399,판매수량_기록!$A$2:$A$399,"&gt;="&amp;$B$3,판매수량_기록!$A$2:$A$399,"&lt;="&amp;$B$4))</f>
        <v>652</v>
      </c>
      <c r="D21" s="12">
        <f>환산계수!$D$7</f>
        <v>1</v>
      </c>
      <c r="E21" s="12">
        <f t="shared" si="0"/>
        <v>652</v>
      </c>
    </row>
    <row r="22" spans="1:6" x14ac:dyDescent="0.35">
      <c r="A22" s="5" t="s">
        <v>105</v>
      </c>
      <c r="B22" s="5" t="s">
        <v>22</v>
      </c>
      <c r="C22" s="6">
        <f>IF(SUM(판매수량_기록!$H$2:$H$399)=0,"",SUMIFS(판매수량_기록!$H$2:$H$399,판매수량_기록!$A$2:$A$399,"&gt;="&amp;$B$3,판매수량_기록!$A$2:$A$399,"&lt;="&amp;$B$4))</f>
        <v>1673</v>
      </c>
      <c r="D22" s="12">
        <f>환산계수!$D$8</f>
        <v>1</v>
      </c>
      <c r="E22" s="12">
        <f t="shared" si="0"/>
        <v>1673</v>
      </c>
    </row>
    <row r="23" spans="1:6" x14ac:dyDescent="0.35">
      <c r="A23" s="5" t="s">
        <v>106</v>
      </c>
      <c r="B23" s="5" t="s">
        <v>22</v>
      </c>
      <c r="C23" s="6">
        <f>IF(SUM(판매수량_기록!$I$2:$I$399)=0,"",SUMIFS(판매수량_기록!$I$2:$I$399,판매수량_기록!$A$2:$A$399,"&gt;="&amp;$B$3,판매수량_기록!$A$2:$A$399,"&lt;="&amp;$B$4))</f>
        <v>1998</v>
      </c>
      <c r="D23" s="12">
        <f>환산계수!$D$9</f>
        <v>1</v>
      </c>
      <c r="E23" s="12">
        <f t="shared" si="0"/>
        <v>1998</v>
      </c>
    </row>
    <row r="24" spans="1:6" x14ac:dyDescent="0.35">
      <c r="A24" s="5" t="s">
        <v>107</v>
      </c>
      <c r="B24" s="5" t="s">
        <v>22</v>
      </c>
      <c r="C24" s="6">
        <f>IF(SUM(판매수량_기록!$J$2:$J$399)=0,"",SUMIFS(판매수량_기록!$J$2:$J$399,판매수량_기록!$A$2:$A$399,"&gt;="&amp;$B$3,판매수량_기록!$A$2:$A$399,"&lt;="&amp;$B$4))</f>
        <v>42</v>
      </c>
      <c r="D24" s="12">
        <f>환산계수!$D$10</f>
        <v>1.5</v>
      </c>
      <c r="E24" s="12">
        <f t="shared" si="0"/>
        <v>63</v>
      </c>
    </row>
    <row r="27" spans="1:6" ht="15.5" customHeight="1" x14ac:dyDescent="0.35">
      <c r="A27" s="56" t="s">
        <v>137</v>
      </c>
      <c r="B27" s="57"/>
      <c r="C27" s="57"/>
      <c r="D27" s="57"/>
      <c r="E27" s="57"/>
      <c r="F27" s="58"/>
    </row>
    <row r="28" spans="1:6" ht="14.65" customHeight="1" x14ac:dyDescent="0.35">
      <c r="A28" s="2" t="s">
        <v>7</v>
      </c>
      <c r="B28" s="2" t="s">
        <v>138</v>
      </c>
      <c r="C28" s="2" t="s">
        <v>139</v>
      </c>
      <c r="D28" s="2" t="s">
        <v>140</v>
      </c>
      <c r="E28" s="2" t="s">
        <v>141</v>
      </c>
      <c r="F28" s="2" t="s">
        <v>142</v>
      </c>
    </row>
    <row r="29" spans="1:6" x14ac:dyDescent="0.35">
      <c r="A29" s="13" t="s">
        <v>11</v>
      </c>
      <c r="B29" s="14">
        <f>SUMIFS($E$16:$E$24,$B$16:$B$24,"닭강정")</f>
        <v>718.6400000000001</v>
      </c>
      <c r="C29" s="9">
        <f>$D$8</f>
        <v>774000</v>
      </c>
      <c r="D29" s="9">
        <f>IF(B29=0,"",C29/B29)</f>
        <v>1077.0343983079149</v>
      </c>
      <c r="E29" s="15">
        <v>2241563</v>
      </c>
      <c r="F29" s="16">
        <f>IFERROR( (E29 - (B29*D29)) / E29, "" )</f>
        <v>0.65470522131209341</v>
      </c>
    </row>
    <row r="30" spans="1:6" x14ac:dyDescent="0.35">
      <c r="A30" s="13" t="s">
        <v>16</v>
      </c>
      <c r="B30" s="14">
        <f>SUMIFS($E$16:$E$24,$B$16:$B$24,"떡볶이")</f>
        <v>394</v>
      </c>
      <c r="C30" s="9">
        <f>$D$9</f>
        <v>271000</v>
      </c>
      <c r="D30" s="9">
        <f>IF(B30=0,"",C30/B30)</f>
        <v>687.81725888324877</v>
      </c>
      <c r="E30" s="15">
        <v>686838</v>
      </c>
      <c r="F30" s="16">
        <f>IFERROR( (E30 - (B30*D30)) / E30, "" )</f>
        <v>0.60543825472673318</v>
      </c>
    </row>
    <row r="31" spans="1:6" x14ac:dyDescent="0.35">
      <c r="A31" s="13" t="s">
        <v>19</v>
      </c>
      <c r="B31" s="14">
        <f>SUMIFS($E$16:$E$24,$B$16:$B$24,"꼬치오뎅")</f>
        <v>652</v>
      </c>
      <c r="C31" s="9">
        <f>$D$10</f>
        <v>194000</v>
      </c>
      <c r="D31" s="9">
        <f>IF(B31=0,"",C31/B31)</f>
        <v>297.54601226993867</v>
      </c>
      <c r="E31" s="15">
        <v>690357</v>
      </c>
      <c r="F31" s="16">
        <f>IFERROR( (E31 - (B31*D31)) / E31, "" )</f>
        <v>0.71898597392363661</v>
      </c>
    </row>
    <row r="32" spans="1:6" x14ac:dyDescent="0.35">
      <c r="A32" s="13" t="s">
        <v>22</v>
      </c>
      <c r="B32" s="14">
        <f>SUMIFS($E$16:$E$24,$B$16:$B$24,"붕어빵")</f>
        <v>3734</v>
      </c>
      <c r="C32" s="9">
        <f>$D$11</f>
        <v>904490</v>
      </c>
      <c r="D32" s="9">
        <f>IF(B32=0,"",C32/B32)</f>
        <v>242.23085163363686</v>
      </c>
      <c r="E32" s="15">
        <v>2457387</v>
      </c>
      <c r="F32" s="16">
        <f>IFERROR( (E32 - (B32*D32)) / E32, "" )</f>
        <v>0.63193017624004688</v>
      </c>
    </row>
    <row r="34" spans="1:6" ht="22.65" customHeight="1" x14ac:dyDescent="0.35">
      <c r="A34" s="59" t="s">
        <v>143</v>
      </c>
      <c r="B34" s="54"/>
      <c r="C34" s="54"/>
      <c r="D34" s="54"/>
      <c r="E34" s="54"/>
      <c r="F34" s="54"/>
    </row>
  </sheetData>
  <mergeCells count="6">
    <mergeCell ref="A1:H1"/>
    <mergeCell ref="F6:H6"/>
    <mergeCell ref="A6:D6"/>
    <mergeCell ref="A27:F27"/>
    <mergeCell ref="A34:F34"/>
    <mergeCell ref="A14:E14"/>
  </mergeCells>
  <phoneticPr fontId="7" type="noConversion"/>
  <conditionalFormatting sqref="I8">
    <cfRule type="expression" dxfId="0" priority="1">
      <formula>ABS(I8-1)&gt;0.001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6</vt:i4>
      </vt:variant>
    </vt:vector>
  </HeadingPairs>
  <TitlesOfParts>
    <vt:vector size="13" baseType="lpstr">
      <vt:lpstr>사용안내</vt:lpstr>
      <vt:lpstr>재료목록</vt:lpstr>
      <vt:lpstr>범례</vt:lpstr>
      <vt:lpstr>매입현황_기록</vt:lpstr>
      <vt:lpstr>판매수량_기록</vt:lpstr>
      <vt:lpstr>환산계수</vt:lpstr>
      <vt:lpstr>기간요약</vt:lpstr>
      <vt:lpstr>IngredientList</vt:lpstr>
      <vt:lpstr>MenuList</vt:lpstr>
      <vt:lpstr>꼬치오뎅</vt:lpstr>
      <vt:lpstr>닭강정</vt:lpstr>
      <vt:lpstr>떡볶이</vt:lpstr>
      <vt:lpstr>붕어빵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제혜린</cp:lastModifiedBy>
  <dcterms:created xsi:type="dcterms:W3CDTF">2026-01-04T06:21:42Z</dcterms:created>
  <dcterms:modified xsi:type="dcterms:W3CDTF">2026-01-04T06:27:58Z</dcterms:modified>
</cp:coreProperties>
</file>